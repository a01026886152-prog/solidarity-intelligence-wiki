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공약 달성도 트래커" sheetId="2" state="visible" r:id="rId2"/>
    <sheet name="분야별 요약" sheetId="3" state="visible" r:id="rId3"/>
    <sheet name="주택공간위 전략" sheetId="4" state="visible" r:id="rId4"/>
    <sheet name="정책지원관 가이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0.0&quot;%&quot;"/>
  </numFmts>
  <fonts count="30">
    <font>
      <name val="Calibri"/>
      <family val="2"/>
      <color theme="1"/>
      <sz val="11"/>
      <scheme val="minor"/>
    </font>
    <font>
      <name val="맑은 고딕"/>
      <b val="1"/>
      <color rgb="001F3864"/>
      <sz val="16"/>
    </font>
    <font>
      <name val="맑은 고딕"/>
      <color rgb="00808080"/>
      <sz val="10"/>
    </font>
    <font>
      <name val="맑은 고딕"/>
      <b val="1"/>
      <color rgb="001F3864"/>
      <sz val="12"/>
    </font>
    <font>
      <name val="맑은 고딕"/>
      <color rgb="002E5496"/>
      <sz val="10"/>
    </font>
    <font>
      <name val="맑은 고딕"/>
      <color rgb="00000000"/>
      <sz val="10"/>
    </font>
    <font>
      <name val="맑은 고딕"/>
      <b val="1"/>
      <color rgb="002E5496"/>
      <sz val="10"/>
    </font>
    <font>
      <name val="맑은 고딕"/>
      <b val="1"/>
      <color rgb="002E75B6"/>
      <sz val="12"/>
    </font>
    <font>
      <name val="맑은 고딕"/>
      <b val="1"/>
      <color rgb="00FFFFFF"/>
      <sz val="13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1F3864"/>
      <sz val="9"/>
    </font>
    <font>
      <name val="맑은 고딕"/>
      <b val="1"/>
      <color rgb="009C5700"/>
      <sz val="9"/>
    </font>
    <font>
      <name val="맑은 고딕"/>
      <b val="1"/>
      <color rgb="00595959"/>
      <sz val="9"/>
    </font>
    <font>
      <name val="맑은 고딕"/>
      <b val="1"/>
      <color rgb="001E6B34"/>
      <sz val="9"/>
    </font>
    <font>
      <name val="맑은 고딕"/>
      <b val="1"/>
      <color rgb="001F3864"/>
      <sz val="15"/>
    </font>
    <font>
      <name val="맑은 고딕"/>
      <color rgb="00808080"/>
      <sz val="9"/>
    </font>
    <font>
      <name val="맑은 고딕"/>
      <b val="1"/>
      <color rgb="001F3864"/>
      <sz val="10"/>
    </font>
    <font>
      <name val="맑은 고딕"/>
      <b val="1"/>
      <color rgb="00FFFFFF"/>
      <sz val="11"/>
    </font>
    <font>
      <name val="맑은 고딕"/>
      <b val="1"/>
      <color rgb="001F3864"/>
      <sz val="11"/>
    </font>
    <font>
      <name val="맑은 고딕"/>
      <b val="1"/>
      <color rgb="001E6B34"/>
      <sz val="10"/>
    </font>
    <font>
      <name val="맑은 고딕"/>
      <b val="1"/>
      <color rgb="001E6B34"/>
      <sz val="11"/>
    </font>
    <font>
      <name val="맑은 고딕"/>
      <b val="1"/>
      <color rgb="009C5700"/>
      <sz val="10"/>
    </font>
    <font>
      <name val="맑은 고딕"/>
      <b val="1"/>
      <color rgb="009C5700"/>
      <sz val="11"/>
    </font>
    <font>
      <name val="맑은 고딕"/>
      <b val="1"/>
      <color rgb="00595959"/>
      <sz val="10"/>
    </font>
    <font>
      <name val="맑은 고딕"/>
      <b val="1"/>
      <color rgb="00595959"/>
      <sz val="11"/>
    </font>
    <font>
      <name val="맑은 고딕"/>
      <b val="1"/>
      <color rgb="00FFFFFF"/>
      <sz val="9"/>
    </font>
    <font>
      <name val="맑은 고딕"/>
      <color rgb="00808080"/>
      <sz val="8"/>
    </font>
    <font>
      <name val="맑은 고딕"/>
      <b val="1"/>
      <color rgb="002E75B6"/>
      <sz val="15"/>
    </font>
    <font>
      <name val="맑은 고딕"/>
      <b val="1"/>
      <color rgb="002E75B6"/>
      <sz val="10"/>
    </font>
  </fonts>
  <fills count="2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05496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4EFE0"/>
      </patternFill>
    </fill>
    <fill>
      <patternFill patternType="solid">
        <fgColor rgb="00FCE9DA"/>
      </patternFill>
    </fill>
    <fill>
      <patternFill patternType="solid">
        <fgColor rgb="00F2E2F0"/>
      </patternFill>
    </fill>
    <fill>
      <patternFill patternType="solid">
        <fgColor rgb="00C6EFCE"/>
      </patternFill>
    </fill>
    <fill>
      <patternFill patternType="solid">
        <fgColor rgb="00EBF6EE"/>
      </patternFill>
    </fill>
    <fill>
      <patternFill patternType="solid">
        <fgColor rgb="00FDF3D4"/>
      </patternFill>
    </fill>
    <fill>
      <patternFill patternType="solid">
        <fgColor rgb="00E0EFF4"/>
      </patternFill>
    </fill>
    <fill>
      <patternFill patternType="solid">
        <fgColor rgb="00EFE1E1"/>
      </patternFill>
    </fill>
    <fill>
      <patternFill patternType="solid">
        <fgColor rgb="00E9E9F2"/>
      </patternFill>
    </fill>
    <fill>
      <patternFill patternType="solid">
        <fgColor rgb="002E5496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2" borderId="0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12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64" fontId="10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vertical="top" wrapText="1"/>
    </xf>
    <xf numFmtId="0" fontId="10" fillId="10" borderId="1" applyAlignment="1" pivotButton="0" quotePrefix="0" xfId="0">
      <alignment vertical="top" wrapText="1"/>
    </xf>
    <xf numFmtId="0" fontId="11" fillId="11" borderId="1" applyAlignment="1" pivotButton="0" quotePrefix="0" xfId="0">
      <alignment vertical="top" wrapText="1"/>
    </xf>
    <xf numFmtId="0" fontId="10" fillId="11" borderId="1" applyAlignment="1" pivotButton="0" quotePrefix="0" xfId="0">
      <alignment vertical="top" wrapText="1"/>
    </xf>
    <xf numFmtId="0" fontId="11" fillId="12" borderId="1" applyAlignment="1" pivotButton="0" quotePrefix="0" xfId="0">
      <alignment vertical="top" wrapText="1"/>
    </xf>
    <xf numFmtId="0" fontId="10" fillId="12" borderId="1" applyAlignment="1" pivotButton="0" quotePrefix="0" xfId="0">
      <alignment vertical="top" wrapText="1"/>
    </xf>
    <xf numFmtId="0" fontId="10" fillId="14" borderId="1" applyAlignment="1" pivotButton="0" quotePrefix="0" xfId="0">
      <alignment vertical="top" wrapText="1"/>
    </xf>
    <xf numFmtId="0" fontId="14" fillId="13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vertical="top" wrapText="1"/>
    </xf>
    <xf numFmtId="0" fontId="10" fillId="15" borderId="1" applyAlignment="1" pivotButton="0" quotePrefix="0" xfId="0">
      <alignment vertical="top" wrapText="1"/>
    </xf>
    <xf numFmtId="0" fontId="11" fillId="16" borderId="1" applyAlignment="1" pivotButton="0" quotePrefix="0" xfId="0">
      <alignment vertical="top" wrapText="1"/>
    </xf>
    <xf numFmtId="0" fontId="10" fillId="16" borderId="1" applyAlignment="1" pivotButton="0" quotePrefix="0" xfId="0">
      <alignment vertical="top" wrapText="1"/>
    </xf>
    <xf numFmtId="0" fontId="11" fillId="17" borderId="1" applyAlignment="1" pivotButton="0" quotePrefix="0" xfId="0">
      <alignment vertical="top" wrapText="1"/>
    </xf>
    <xf numFmtId="0" fontId="10" fillId="17" borderId="1" applyAlignment="1" pivotButton="0" quotePrefix="0" xfId="0">
      <alignment vertical="top" wrapText="1"/>
    </xf>
    <xf numFmtId="0" fontId="11" fillId="18" borderId="1" applyAlignment="1" pivotButton="0" quotePrefix="0" xfId="0">
      <alignment vertical="top" wrapText="1"/>
    </xf>
    <xf numFmtId="0" fontId="10" fillId="18" borderId="1" applyAlignment="1" pivotButton="0" quotePrefix="0" xfId="0">
      <alignment vertical="top" wrapText="1"/>
    </xf>
    <xf numFmtId="0" fontId="15" fillId="0" borderId="0" pivotButton="0" quotePrefix="0" xfId="0"/>
    <xf numFmtId="0" fontId="16" fillId="0" borderId="0" pivotButton="0" quotePrefix="0" xfId="0"/>
    <xf numFmtId="0" fontId="17" fillId="5" borderId="1" pivotButton="0" quotePrefix="0" xfId="0"/>
    <xf numFmtId="0" fontId="5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17" fillId="10" borderId="1" pivotButton="0" quotePrefix="0" xfId="0"/>
    <xf numFmtId="0" fontId="17" fillId="11" borderId="1" pivotButton="0" quotePrefix="0" xfId="0"/>
    <xf numFmtId="0" fontId="17" fillId="12" borderId="1" pivotButton="0" quotePrefix="0" xfId="0"/>
    <xf numFmtId="0" fontId="17" fillId="15" borderId="1" pivotButton="0" quotePrefix="0" xfId="0"/>
    <xf numFmtId="0" fontId="17" fillId="16" borderId="1" pivotButton="0" quotePrefix="0" xfId="0"/>
    <xf numFmtId="0" fontId="17" fillId="17" borderId="1" pivotButton="0" quotePrefix="0" xfId="0"/>
    <xf numFmtId="0" fontId="17" fillId="18" borderId="1" pivotButton="0" quotePrefix="0" xfId="0"/>
    <xf numFmtId="0" fontId="18" fillId="2" borderId="1" pivotButton="0" quotePrefix="0" xfId="0"/>
    <xf numFmtId="0" fontId="18" fillId="2" borderId="1" applyAlignment="1" pivotButton="0" quotePrefix="0" xfId="0">
      <alignment horizontal="center" vertical="center" wrapText="1"/>
    </xf>
    <xf numFmtId="165" fontId="19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5" fillId="0" borderId="1" pivotButton="0" quotePrefix="0" xfId="0"/>
    <xf numFmtId="0" fontId="20" fillId="13" borderId="1" pivotButton="0" quotePrefix="0" xfId="0"/>
    <xf numFmtId="0" fontId="21" fillId="0" borderId="1" applyAlignment="1" pivotButton="0" quotePrefix="0" xfId="0">
      <alignment horizontal="center" vertical="center" wrapText="1"/>
    </xf>
    <xf numFmtId="0" fontId="22" fillId="7" borderId="1" pivotButton="0" quotePrefix="0" xfId="0"/>
    <xf numFmtId="0" fontId="23" fillId="0" borderId="1" applyAlignment="1" pivotButton="0" quotePrefix="0" xfId="0">
      <alignment horizontal="center" vertical="center" wrapText="1"/>
    </xf>
    <xf numFmtId="0" fontId="24" fillId="9" borderId="1" pivotButton="0" quotePrefix="0" xfId="0"/>
    <xf numFmtId="0" fontId="25" fillId="0" borderId="1" applyAlignment="1" pivotButton="0" quotePrefix="0" xfId="0">
      <alignment horizontal="center" vertical="center" wrapText="1"/>
    </xf>
    <xf numFmtId="0" fontId="26" fillId="19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vertical="top" wrapText="1"/>
    </xf>
    <xf numFmtId="0" fontId="10" fillId="13" borderId="1" applyAlignment="1" pivotButton="0" quotePrefix="0" xfId="0">
      <alignment vertical="top" wrapText="1"/>
    </xf>
    <xf numFmtId="0" fontId="26" fillId="20" borderId="1" applyAlignment="1" pivotButton="0" quotePrefix="0" xfId="0">
      <alignment horizontal="center" vertical="center" wrapText="1"/>
    </xf>
    <xf numFmtId="0" fontId="27" fillId="0" borderId="0" pivotButton="0" quotePrefix="0" xfId="0"/>
    <xf numFmtId="0" fontId="28" fillId="0" borderId="0" pivotButton="0" quotePrefix="0" xfId="0"/>
    <xf numFmtId="0" fontId="26" fillId="4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vertical="top" wrapText="1"/>
    </xf>
    <xf numFmtId="0" fontId="17" fillId="0" borderId="0" pivotButton="0" quotePrefix="0" xfId="0"/>
    <xf numFmtId="0" fontId="5" fillId="0" borderId="0" applyAlignment="1" pivotButton="0" quotePrefix="0" xfId="0">
      <alignment horizontal="center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가이드</author>
  </authors>
  <commentList>
    <comment ref="G2" authorId="0" shapeId="0">
      <text>
        <t>지방자치법상 정책지원관 직무(자료 수집·조사·연구) 범위에서 이 공약을 지원하는 구체 과업. 소관·핵심 공약부터 집중하세요.</t>
      </text>
    </comment>
    <comment ref="N2" authorId="0" shapeId="0">
      <text>
        <t>0~100 숫자만 입력. 분야별 요약 탭이 자동 집계합니다.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2">
      <c r="B2" s="1" t="inlineStr">
        <is>
          <t>박이강 서울시의원 공약사업 달성도 트래커</t>
        </is>
      </c>
    </row>
    <row r="3">
      <c r="B3" s="2" t="inlineStr">
        <is>
          <t>노원구 제1선거구(월계1·2·3동) · 서울시의회 주택공간위원회 부위원장 · 선거공보 기반</t>
        </is>
      </c>
    </row>
    <row r="5">
      <c r="B5" s="3" t="inlineStr">
        <is>
          <t>■ 이 문서의 목적</t>
        </is>
      </c>
    </row>
    <row r="6">
      <c r="B6" s="4" t="inlineStr">
        <is>
          <t>핵심 질문</t>
        </is>
      </c>
      <c r="C6" s="5" t="inlineStr">
        <is>
          <t>시의원으로서 '어떤 활동(INPUT)'을 하면 '공약사업 달성(OUTPUT)'으로 이어지는가? 그리고 이를 정책지원관이 어떻게 지원하는가?</t>
        </is>
      </c>
    </row>
    <row r="7">
      <c r="B7" s="4" t="inlineStr">
        <is>
          <t>구조</t>
        </is>
      </c>
      <c r="C7" s="5" t="inlineStr">
        <is>
          <t>투입(시의원 의정활동) → 산출(기대 결과물) → 달성도(측정지표·달성률)의 논리모형(Logic Model)</t>
        </is>
      </c>
    </row>
    <row r="9">
      <c r="B9" s="3" t="inlineStr">
        <is>
          <t>■ 투입-산출 논리모형 (Input → Output)</t>
        </is>
      </c>
    </row>
    <row r="10">
      <c r="B10" s="6" t="inlineStr">
        <is>
          <t>INPUT (투입)</t>
        </is>
      </c>
      <c r="C10" s="5" t="inlineStr">
        <is>
          <t>시의원이 직접 행사할 수 있는 의정활동 수단: 서울시 예산 심의·증액, 조례 제·개정 발의, 시정질문·5분 자유발언, 행정사무감사, 상임위 심사, 정부·국회·자치구 협치·협의, 주민 현장민원 수렴</t>
        </is>
      </c>
    </row>
    <row r="11">
      <c r="B11" s="6" t="inlineStr">
        <is>
          <t>OUTPUT (산출)</t>
        </is>
      </c>
      <c r="C11" s="5" t="inlineStr">
        <is>
          <t>투입 활동의 결과로 나타나는 눈에 보이는 결과물: 예산 반영액, 착공·개통, 조례 시행, 시설 설치, 제도 도입 등</t>
        </is>
      </c>
    </row>
    <row r="12">
      <c r="B12" s="6" t="inlineStr">
        <is>
          <t>달성도 (지표)</t>
        </is>
      </c>
      <c r="C12" s="5" t="inlineStr">
        <is>
          <t>산출을 계량·확인하는 KPI와 달성률(%). 진행단계와 달성률을 주기적으로 갱신하여 이행 점검</t>
        </is>
      </c>
    </row>
    <row r="14">
      <c r="B14" s="3" t="inlineStr">
        <is>
          <t>■ 주택공간위원회 부위원장 지위 활용 (핵심)</t>
        </is>
      </c>
    </row>
    <row r="15">
      <c r="B15" s="6" t="inlineStr">
        <is>
          <t>소관 범위</t>
        </is>
      </c>
      <c r="C15" s="5" t="inlineStr">
        <is>
          <t>서울시의회 주택공간위원회는 주택정책실(주택정책·주거재생·공동주택·건축), 도시공간본부/균형발전본부, SH 서울주택도시공사 등을 소관으로 심사합니다. (구체적 소관 실·본부는 해당 회기 위원회 구성 기준으로 확인 필요)</t>
        </is>
      </c>
    </row>
    <row r="16">
      <c r="B16" s="6" t="inlineStr">
        <is>
          <t>직접 지렛대</t>
        </is>
      </c>
      <c r="C16" s="5" t="inlineStr">
        <is>
          <t>소관 공약(주거 3건·복지 SH민원·경제 광운대역)은 소관 예산심사 증액, 소관 실·SH공사 행정사무감사·시정질문, 조례 발의, 부위원장 권한 안건 우선 상정으로 '직접' 추진</t>
        </is>
      </c>
    </row>
    <row r="17">
      <c r="B17" s="6" t="inlineStr">
        <is>
          <t>협력 지렛대</t>
        </is>
      </c>
      <c r="C17" s="5" t="inlineStr">
        <is>
          <t>교통·교육 등 타 상임위 소관 공약은 예산결산특위 종합심사 반영 요구, 공동발의·질의, 원팀 협치로 '간접' 견인</t>
        </is>
      </c>
    </row>
    <row r="19">
      <c r="B19" s="7" t="inlineStr">
        <is>
          <t>■ 정책지원관 지원업무 (신규 부임자용)</t>
        </is>
      </c>
    </row>
    <row r="20">
      <c r="B20" s="6" t="inlineStr">
        <is>
          <t>역할 근거</t>
        </is>
      </c>
      <c r="C20" s="5" t="inlineStr">
        <is>
          <t>지방자치법상 정책지원 전문인력. 조례 제·개정, 예산 심의, 행정사무감사, 서류제출요구 등 의정활동에 대한 '자료 수집·조사·연구'를 지원 (선거·정치·개인사무는 지원 범위 밖)</t>
        </is>
      </c>
    </row>
    <row r="21">
      <c r="B21" s="4" t="inlineStr">
        <is>
          <t>표 보는 법</t>
        </is>
      </c>
      <c r="C21" s="5" t="inlineStr">
        <is>
          <t>트래커 시트의 '정책지원관 지원업무' 열(하늘색)에 공약별 지원 과업이 있습니다. 상세 역할·업무파악 체크리스트는 '정책지원관 가이드' 시트를 참고하세요.</t>
        </is>
      </c>
    </row>
    <row r="22">
      <c r="B22" s="4" t="inlineStr">
        <is>
          <t>소관구분 색</t>
        </is>
      </c>
      <c r="C22" s="5" t="inlineStr">
        <is>
          <t>🟩소관·핵심(직접 지렛대·우선 지원) / 🟧부분소관 / ⬜협력. 소관·핵심 4건부터 자료조사·질의 준비를 집중하세요.</t>
        </is>
      </c>
    </row>
    <row r="24">
      <c r="B24" s="3" t="inlineStr">
        <is>
          <t>■ 시의원 의정수단 유형(INPUT 분류)</t>
        </is>
      </c>
    </row>
    <row r="25">
      <c r="B25" s="4" t="inlineStr">
        <is>
          <t>① 예산</t>
        </is>
      </c>
      <c r="C25" s="5" t="inlineStr">
        <is>
          <t>서울시 예산안 심의·계수조정, 사업 예산 증액·신규 편성 요구 (시의원 최대 권한)</t>
        </is>
      </c>
    </row>
    <row r="26">
      <c r="B26" s="4" t="inlineStr">
        <is>
          <t>② 조례</t>
        </is>
      </c>
      <c r="C26" s="5" t="inlineStr">
        <is>
          <t>제도의 근거가 되는 조례 제·개정 발의 및 의결</t>
        </is>
      </c>
    </row>
    <row r="27">
      <c r="B27" s="4" t="inlineStr">
        <is>
          <t>③ 감시·질의</t>
        </is>
      </c>
      <c r="C27" s="5" t="inlineStr">
        <is>
          <t>시정질문·5분 자유발언·행정사무감사로 집행부 이행 촉구·점검</t>
        </is>
      </c>
    </row>
    <row r="28">
      <c r="B28" s="4" t="inlineStr">
        <is>
          <t>④ 협치·협의</t>
        </is>
      </c>
      <c r="C28" s="5" t="inlineStr">
        <is>
          <t>정부·국회·서울시·노원구 '원팀' 협의로 국책·광역사업 견인</t>
        </is>
      </c>
    </row>
    <row r="29">
      <c r="B29" s="4" t="inlineStr">
        <is>
          <t>⑤ 현장·민원</t>
        </is>
      </c>
      <c r="C29" s="5" t="inlineStr">
        <is>
          <t>주민 현장민원실·간담회로 수요 발굴 및 우선순위 반영</t>
        </is>
      </c>
    </row>
    <row r="31">
      <c r="B31" s="3" t="inlineStr">
        <is>
          <t>■ 사용법 (입력 셀 안내)</t>
        </is>
      </c>
    </row>
    <row r="32">
      <c r="B32" s="4" t="inlineStr">
        <is>
          <t>노란색 셀만 입력</t>
        </is>
      </c>
      <c r="C32" s="5" t="inlineStr">
        <is>
          <t>'진행단계'와 '달성률(%)' 열(노란 음영)만 갱신하세요.</t>
        </is>
      </c>
    </row>
    <row r="33">
      <c r="B33" s="4" t="inlineStr">
        <is>
          <t>진행단계</t>
        </is>
      </c>
      <c r="C33" s="5" t="inlineStr">
        <is>
          <t>드롭다운: 착수 전 / 추진 중 / 일부 달성 / 목표 달성 / 보류·무산</t>
        </is>
      </c>
    </row>
    <row r="34">
      <c r="B34" s="4" t="inlineStr">
        <is>
          <t>달성률(%)</t>
        </is>
      </c>
      <c r="C34" s="5" t="inlineStr">
        <is>
          <t>0~100% 숫자 입력. '분야별 요약' 탭이 자동으로 평균 달성률을 계산합니다.</t>
        </is>
      </c>
    </row>
    <row r="35">
      <c r="B35" s="4" t="inlineStr">
        <is>
          <t>근거·비고</t>
        </is>
      </c>
      <c r="C35" s="5" t="inlineStr">
        <is>
          <t>예산서 페이지, 조례안 번호, 착공일 등 산출을 입증하는 근거를 기록하세요.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26" customWidth="1" min="4" max="4"/>
    <col width="34" customWidth="1" min="5" max="5"/>
    <col width="36" customWidth="1" min="6" max="6"/>
    <col width="38" customWidth="1" min="7" max="7"/>
    <col width="10" customWidth="1" min="8" max="8"/>
    <col width="10" customWidth="1" min="9" max="9"/>
    <col width="28" customWidth="1" min="10" max="10"/>
    <col width="24" customWidth="1" min="11" max="11"/>
    <col width="9" customWidth="1" min="12" max="12"/>
    <col width="11" customWidth="1" min="13" max="13"/>
    <col width="9" customWidth="1" min="14" max="14"/>
    <col width="16" customWidth="1" min="15" max="15"/>
  </cols>
  <sheetData>
    <row r="1" ht="30" customHeight="1">
      <c r="A1" s="8" t="inlineStr">
        <is>
          <t>박이강 서울시의원 공약사업 달성도 트래커 — 부위원장 중점활동 + 정책지원관 지원업무 (투입→산출 논리모형)</t>
        </is>
      </c>
    </row>
    <row r="2" ht="34" customHeight="1">
      <c r="A2" s="9" t="inlineStr">
        <is>
          <t>연번</t>
        </is>
      </c>
      <c r="B2" s="9" t="inlineStr">
        <is>
          <t>분야</t>
        </is>
      </c>
      <c r="C2" s="9" t="inlineStr">
        <is>
          <t>공약 슬로건</t>
        </is>
      </c>
      <c r="D2" s="9" t="inlineStr">
        <is>
          <t>세부 공약사업</t>
        </is>
      </c>
      <c r="E2" s="9" t="inlineStr">
        <is>
          <t>INPUT · 시의원 의정활동(투입)</t>
        </is>
      </c>
      <c r="F2" s="9" t="inlineStr">
        <is>
          <t>주택공간위 부위원장 중점활동</t>
        </is>
      </c>
      <c r="G2" s="10" t="inlineStr">
        <is>
          <t>정책지원관 지원업무</t>
        </is>
      </c>
      <c r="H2" s="9" t="inlineStr">
        <is>
          <t>소관
구분</t>
        </is>
      </c>
      <c r="I2" s="9" t="inlineStr">
        <is>
          <t>의정수단
유형</t>
        </is>
      </c>
      <c r="J2" s="9" t="inlineStr">
        <is>
          <t>OUTPUT · 산출/기대 결과물</t>
        </is>
      </c>
      <c r="K2" s="9" t="inlineStr">
        <is>
          <t>달성도 측정지표(KPI)</t>
        </is>
      </c>
      <c r="L2" s="9" t="inlineStr">
        <is>
          <t>목표
시기</t>
        </is>
      </c>
      <c r="M2" s="9" t="inlineStr">
        <is>
          <t>진행단계</t>
        </is>
      </c>
      <c r="N2" s="9" t="inlineStr">
        <is>
          <t>달성률
(%)</t>
        </is>
      </c>
      <c r="O2" s="9" t="inlineStr">
        <is>
          <t>근거·비고</t>
        </is>
      </c>
    </row>
    <row r="3" ht="78" customHeight="1">
      <c r="A3" s="11" t="n">
        <v>1</v>
      </c>
      <c r="B3" s="12" t="inlineStr">
        <is>
          <t>경제</t>
        </is>
      </c>
      <c r="C3" s="13" t="inlineStr">
        <is>
          <t>월계동을 '강북의 판교'·'서울의 실리콘밸리'로</t>
        </is>
      </c>
      <c r="D3" s="14" t="inlineStr">
        <is>
          <t>광운대역 민자역사 리모델링 추진 (제2의 용산역화)</t>
        </is>
      </c>
      <c r="E3" s="14" t="inlineStr">
        <is>
          <t>서울시 도시계획·투자심사 예산 심의, 시정질문으로 사업 속도 촉구, 코레일·서울시·민간 협상 지원</t>
        </is>
      </c>
      <c r="F3" s="14" t="inlineStr">
        <is>
          <t>도시공간·역세권 개발계획 심사 시 리모델링 반영, 도시공간본부 대상 시정질문·자료요구</t>
        </is>
      </c>
      <c r="G3" s="15" t="inlineStr">
        <is>
          <t>역세권 개발계획·민자역사 추진경과·코레일 협의이력 자료수집, 도시공간본부 소관 질의자료 작성</t>
        </is>
      </c>
      <c r="H3" s="16" t="inlineStr">
        <is>
          <t>부분소관</t>
        </is>
      </c>
      <c r="I3" s="11" t="inlineStr">
        <is>
          <t>협치·협의</t>
        </is>
      </c>
      <c r="J3" s="14" t="inlineStr">
        <is>
          <t>광운대역 민자역사 리모델링 착공·복합개발 인허가</t>
        </is>
      </c>
      <c r="K3" s="14" t="inlineStr">
        <is>
          <t>착공 여부 / 인허가 단계 진척</t>
        </is>
      </c>
      <c r="L3" s="11" t="inlineStr">
        <is>
          <t>2026~2030</t>
        </is>
      </c>
      <c r="M3" s="17" t="inlineStr">
        <is>
          <t>착수 전</t>
        </is>
      </c>
      <c r="N3" s="18" t="n">
        <v>0</v>
      </c>
      <c r="O3" s="14" t="inlineStr"/>
    </row>
    <row r="4" ht="78" customHeight="1">
      <c r="A4" s="11" t="n">
        <v>2</v>
      </c>
      <c r="B4" s="12" t="inlineStr">
        <is>
          <t>경제</t>
        </is>
      </c>
      <c r="C4" s="13" t="inlineStr">
        <is>
          <t>월계동을 '강북의 판교'·'서울의 실리콘밸리'로</t>
        </is>
      </c>
      <c r="D4" s="14" t="inlineStr">
        <is>
          <t>광운대역세권 창업지원공간 대대적 조성</t>
        </is>
      </c>
      <c r="E4" s="14" t="inlineStr">
        <is>
          <t>서울시 창업지원 예산 확보·증액 요구, 관련 조례 발의, 부지 확보 행정 협의</t>
        </is>
      </c>
      <c r="F4" s="14" t="inlineStr">
        <is>
          <t>경제 소관과 연계, 역세권 개발계획에 창업공간 확보 조건 반영 요구</t>
        </is>
      </c>
      <c r="G4" s="15" t="inlineStr">
        <is>
          <t>타 시도 역세권 창업공간 사례조사, 경제 소관 상임위 예산자료 연계 요청</t>
        </is>
      </c>
      <c r="H4" s="19" t="inlineStr">
        <is>
          <t>협력</t>
        </is>
      </c>
      <c r="I4" s="11" t="inlineStr">
        <is>
          <t>예산·조례</t>
        </is>
      </c>
      <c r="J4" s="14" t="inlineStr">
        <is>
          <t>창업지원공간(인큐베이터) 개소 및 입주기업 유치</t>
        </is>
      </c>
      <c r="K4" s="14" t="inlineStr">
        <is>
          <t>입주 기업 수 / 지원공간 면적(㎡)</t>
        </is>
      </c>
      <c r="L4" s="11" t="inlineStr">
        <is>
          <t>2026~2029</t>
        </is>
      </c>
      <c r="M4" s="17" t="inlineStr">
        <is>
          <t>착수 전</t>
        </is>
      </c>
      <c r="N4" s="18" t="n">
        <v>0</v>
      </c>
      <c r="O4" s="14" t="inlineStr"/>
    </row>
    <row r="5" ht="78" customHeight="1">
      <c r="A5" s="11" t="n">
        <v>3</v>
      </c>
      <c r="B5" s="12" t="inlineStr">
        <is>
          <t>경제</t>
        </is>
      </c>
      <c r="C5" s="13" t="inlineStr">
        <is>
          <t>월계동을 '강북의 판교'·'서울의 실리콘밸리'로</t>
        </is>
      </c>
      <c r="D5" s="14" t="inlineStr">
        <is>
          <t>정부 벤처기업육성촉진지구 지정 추진</t>
        </is>
      </c>
      <c r="E5" s="14" t="inlineStr">
        <is>
          <t>서울시-중기부 지정 건의, 시정질문으로 지정 요구, 인프라 예산 확보</t>
        </is>
      </c>
      <c r="F5" s="14" t="inlineStr">
        <is>
          <t>경제·중기 소관 위원과 공동대응, 지구 내 도시계획 지원</t>
        </is>
      </c>
      <c r="G5" s="15" t="inlineStr">
        <is>
          <t>벤처기업육성촉진지구 지정요건·타 사례 조사, 중기부 협의 필요서류 정리</t>
        </is>
      </c>
      <c r="H5" s="19" t="inlineStr">
        <is>
          <t>협력</t>
        </is>
      </c>
      <c r="I5" s="11" t="inlineStr">
        <is>
          <t>협치·협의</t>
        </is>
      </c>
      <c r="J5" s="14" t="inlineStr">
        <is>
          <t>벤처기업육성촉진지구 지정 → 세제혜택·인프라 확보</t>
        </is>
      </c>
      <c r="K5" s="14" t="inlineStr">
        <is>
          <t>지구 지정 고시 여부 / 혜택 기업 수</t>
        </is>
      </c>
      <c r="L5" s="11" t="inlineStr">
        <is>
          <t>2026~2028</t>
        </is>
      </c>
      <c r="M5" s="17" t="inlineStr">
        <is>
          <t>착수 전</t>
        </is>
      </c>
      <c r="N5" s="18" t="n">
        <v>0</v>
      </c>
      <c r="O5" s="14" t="inlineStr"/>
    </row>
    <row r="6" ht="78" customHeight="1">
      <c r="A6" s="11" t="n">
        <v>4</v>
      </c>
      <c r="B6" s="12" t="inlineStr">
        <is>
          <t>경제</t>
        </is>
      </c>
      <c r="C6" s="13" t="inlineStr">
        <is>
          <t>월계동을 '강북의 판교'·'서울의 실리콘밸리'로</t>
        </is>
      </c>
      <c r="D6" s="14" t="inlineStr">
        <is>
          <t>관내 대학(광운대·인덕대) 연계 AI·과학기술 인재 육성</t>
        </is>
      </c>
      <c r="E6" s="14" t="inlineStr">
        <is>
          <t>산학연계 사업 예산 편성 요구, 인재육성 지원 조례 발의, 대학-서울시 협약 중개</t>
        </is>
      </c>
      <c r="F6" s="14" t="inlineStr">
        <is>
          <t>교육·경제 소관과 연계 (직접 소관 아님)</t>
        </is>
      </c>
      <c r="G6" s="15" t="inlineStr">
        <is>
          <t>대학 연계 인재양성 사업 사례·예산 조사, 교육/경제 소관 자료 연계</t>
        </is>
      </c>
      <c r="H6" s="19" t="inlineStr">
        <is>
          <t>협력</t>
        </is>
      </c>
      <c r="I6" s="11" t="inlineStr">
        <is>
          <t>예산·조례</t>
        </is>
      </c>
      <c r="J6" s="14" t="inlineStr">
        <is>
          <t>대학 연계 AI·과기 인재양성 프로그램 운영</t>
        </is>
      </c>
      <c r="K6" s="14" t="inlineStr">
        <is>
          <t>연계 프로그램 수 / 참여·수료 인원</t>
        </is>
      </c>
      <c r="L6" s="11" t="inlineStr">
        <is>
          <t>2026~2029</t>
        </is>
      </c>
      <c r="M6" s="17" t="inlineStr">
        <is>
          <t>착수 전</t>
        </is>
      </c>
      <c r="N6" s="18" t="n">
        <v>0</v>
      </c>
      <c r="O6" s="14" t="inlineStr"/>
    </row>
    <row r="7" ht="78" customHeight="1">
      <c r="A7" s="11" t="n">
        <v>5</v>
      </c>
      <c r="B7" s="20" t="inlineStr">
        <is>
          <t>교통</t>
        </is>
      </c>
      <c r="C7" s="21" t="inlineStr">
        <is>
          <t>사통팔달 교통혁신으로 더 살기 좋은 월계</t>
        </is>
      </c>
      <c r="D7" s="14" t="inlineStr">
        <is>
          <t>월계동 3대 교통혁신: GTX-C 착공·SRT 광운대역 정차·동북선 완공</t>
        </is>
      </c>
      <c r="E7" s="14" t="inlineStr">
        <is>
          <t>국회의원·국토부·서울시 '원팀' 협의, 서울시 분담금 예산 심의, 시정질문으로 공정 점검</t>
        </is>
      </c>
      <c r="F7" s="14" t="inlineStr">
        <is>
          <t>교통위원회 위원과 공동대응, 예결 종합심사서 광역철도 분담금 지원</t>
        </is>
      </c>
      <c r="G7" s="15" t="inlineStr">
        <is>
          <t>GTX-C·SRT·동북선 추진경과·분담금 현황 자료수집, 교통위 자료 연계·종합심사 논리 정리</t>
        </is>
      </c>
      <c r="H7" s="19" t="inlineStr">
        <is>
          <t>협력</t>
        </is>
      </c>
      <c r="I7" s="11" t="inlineStr">
        <is>
          <t>협치·협의</t>
        </is>
      </c>
      <c r="J7" s="14" t="inlineStr">
        <is>
          <t>GTX-C 착공, SRT 정차 확정, 동북선 경전철 개통</t>
        </is>
      </c>
      <c r="K7" s="14" t="inlineStr">
        <is>
          <t>각 사업 착공/개통 단계 / 개통 시기</t>
        </is>
      </c>
      <c r="L7" s="11" t="inlineStr">
        <is>
          <t>2026~2030</t>
        </is>
      </c>
      <c r="M7" s="17" t="inlineStr">
        <is>
          <t>착수 전</t>
        </is>
      </c>
      <c r="N7" s="18" t="n">
        <v>0</v>
      </c>
      <c r="O7" s="14" t="inlineStr"/>
    </row>
    <row r="8" ht="78" customHeight="1">
      <c r="A8" s="11" t="n">
        <v>6</v>
      </c>
      <c r="B8" s="20" t="inlineStr">
        <is>
          <t>교통</t>
        </is>
      </c>
      <c r="C8" s="21" t="inlineStr">
        <is>
          <t>사통팔달 교통혁신으로 더 살기 좋은 월계</t>
        </is>
      </c>
      <c r="D8" s="14" t="inlineStr">
        <is>
          <t>지하철 접근성 강화(다람쥐버스·노원15번 창동역행·녹천역 에스컬레이터)</t>
        </is>
      </c>
      <c r="E8" s="14" t="inlineStr">
        <is>
          <t>서울시 버스노선·시설 예산 확보, 버스정책과 시정질문, 서울교통공사 협의</t>
        </is>
      </c>
      <c r="F8" s="14" t="inlineStr">
        <is>
          <t>교통위 소관, 예결 종합심사서 반영 요구</t>
        </is>
      </c>
      <c r="G8" s="15" t="inlineStr">
        <is>
          <t>다람쥐버스·노선 신설 절차·사례 조사, 교통위 소관 자료요청</t>
        </is>
      </c>
      <c r="H8" s="19" t="inlineStr">
        <is>
          <t>협력</t>
        </is>
      </c>
      <c r="I8" s="11" t="inlineStr">
        <is>
          <t>예산·협의</t>
        </is>
      </c>
      <c r="J8" s="14" t="inlineStr">
        <is>
          <t>다람쥐버스 도입, 노선 재조정, 녹천역 4번출구 에스컬레이터 설치</t>
        </is>
      </c>
      <c r="K8" s="14" t="inlineStr">
        <is>
          <t>신규·조정 노선 수 / 승강편의시설 수</t>
        </is>
      </c>
      <c r="L8" s="11" t="inlineStr">
        <is>
          <t>2026~2028</t>
        </is>
      </c>
      <c r="M8" s="17" t="inlineStr">
        <is>
          <t>착수 전</t>
        </is>
      </c>
      <c r="N8" s="18" t="n">
        <v>0</v>
      </c>
      <c r="O8" s="14" t="inlineStr"/>
    </row>
    <row r="9" ht="78" customHeight="1">
      <c r="A9" s="11" t="n">
        <v>7</v>
      </c>
      <c r="B9" s="20" t="inlineStr">
        <is>
          <t>교통</t>
        </is>
      </c>
      <c r="C9" s="21" t="inlineStr">
        <is>
          <t>사통팔달 교통혁신으로 더 살기 좋은 월계</t>
        </is>
      </c>
      <c r="D9" s="14" t="inlineStr">
        <is>
          <t>고유가 위기 출근길 지원(대중교통 할인·유연근무제 확대)</t>
        </is>
      </c>
      <c r="E9" s="14" t="inlineStr">
        <is>
          <t>서울시 대중교통 할인정책 예산·조례 발의, 시정질문으로 제도 확대 요구</t>
        </is>
      </c>
      <c r="F9" s="14" t="inlineStr">
        <is>
          <t>교통·기획경제 소관 연계</t>
        </is>
      </c>
      <c r="G9" s="15" t="inlineStr">
        <is>
          <t>대중교통 할인·유연근무 타 지자체 사례 조사</t>
        </is>
      </c>
      <c r="H9" s="19" t="inlineStr">
        <is>
          <t>협력</t>
        </is>
      </c>
      <c r="I9" s="11" t="inlineStr">
        <is>
          <t>예산·조례</t>
        </is>
      </c>
      <c r="J9" s="14" t="inlineStr">
        <is>
          <t>교통비 할인·유연근무 지원제도 확대 시행</t>
        </is>
      </c>
      <c r="K9" s="14" t="inlineStr">
        <is>
          <t>수혜 인원 / 할인 지원 규모(원)</t>
        </is>
      </c>
      <c r="L9" s="11" t="inlineStr">
        <is>
          <t>2026~2027</t>
        </is>
      </c>
      <c r="M9" s="17" t="inlineStr">
        <is>
          <t>착수 전</t>
        </is>
      </c>
      <c r="N9" s="18" t="n">
        <v>0</v>
      </c>
      <c r="O9" s="14" t="inlineStr"/>
    </row>
    <row r="10" ht="78" customHeight="1">
      <c r="A10" s="11" t="n">
        <v>8</v>
      </c>
      <c r="B10" s="22" t="inlineStr">
        <is>
          <t>교육</t>
        </is>
      </c>
      <c r="C10" s="23" t="inlineStr">
        <is>
          <t>제2의 은행사거리! 명품 교육도시 월계</t>
        </is>
      </c>
      <c r="D10" s="14" t="inlineStr">
        <is>
          <t>특성화 교육 산실 &lt;월계장학관&gt; 조성</t>
        </is>
      </c>
      <c r="E10" s="14" t="inlineStr">
        <is>
          <t>서울시·교육청 협력 예산 확보, 장학관 설치·운영 조례 발의, 부지 협의</t>
        </is>
      </c>
      <c r="F10" s="14" t="inlineStr">
        <is>
          <t>교육위 소관 / 부지·건축은 도시공간 소관으로 협의 가능</t>
        </is>
      </c>
      <c r="G10" s="15" t="inlineStr">
        <is>
          <t>유사 장학관·교육시설 사례·예산 조사, 부지 후보 현황 정리</t>
        </is>
      </c>
      <c r="H10" s="19" t="inlineStr">
        <is>
          <t>협력</t>
        </is>
      </c>
      <c r="I10" s="11" t="inlineStr">
        <is>
          <t>예산·조례</t>
        </is>
      </c>
      <c r="J10" s="14" t="inlineStr">
        <is>
          <t>월계장학관 건립·개관 및 프로그램 운영</t>
        </is>
      </c>
      <c r="K10" s="14" t="inlineStr">
        <is>
          <t>개관 여부 / 이용 학생 수</t>
        </is>
      </c>
      <c r="L10" s="11" t="inlineStr">
        <is>
          <t>2026~2030</t>
        </is>
      </c>
      <c r="M10" s="17" t="inlineStr">
        <is>
          <t>착수 전</t>
        </is>
      </c>
      <c r="N10" s="18" t="n">
        <v>0</v>
      </c>
      <c r="O10" s="14" t="inlineStr"/>
    </row>
    <row r="11" ht="78" customHeight="1">
      <c r="A11" s="11" t="n">
        <v>9</v>
      </c>
      <c r="B11" s="22" t="inlineStr">
        <is>
          <t>교육</t>
        </is>
      </c>
      <c r="C11" s="23" t="inlineStr">
        <is>
          <t>제2의 은행사거리! 명품 교육도시 월계</t>
        </is>
      </c>
      <c r="D11" s="14" t="inlineStr">
        <is>
          <t>아동·청소년 문화·예술·체육 복합시설 확대</t>
        </is>
      </c>
      <c r="E11" s="14" t="inlineStr">
        <is>
          <t>서울시 생활SOC 예산 편성 요구, 행정사무감사로 노후시설 점검, 부지 발굴</t>
        </is>
      </c>
      <c r="F11" s="14" t="inlineStr">
        <is>
          <t>생활SOC 건립을 균형발전·도시공간 사업과 연계</t>
        </is>
      </c>
      <c r="G11" s="15" t="inlineStr">
        <is>
          <t>관내 아동청소년시설 현황·수요 조사, 생활SOC 예산 분석</t>
        </is>
      </c>
      <c r="H11" s="16" t="inlineStr">
        <is>
          <t>부분소관</t>
        </is>
      </c>
      <c r="I11" s="11" t="inlineStr">
        <is>
          <t>예산·감시</t>
        </is>
      </c>
      <c r="J11" s="14" t="inlineStr">
        <is>
          <t>아동청소년 복합 문화·체육 인프라 신설·확충</t>
        </is>
      </c>
      <c r="K11" s="14" t="inlineStr">
        <is>
          <t>신설 시설 수 / 이용 인원</t>
        </is>
      </c>
      <c r="L11" s="11" t="inlineStr">
        <is>
          <t>2026~2030</t>
        </is>
      </c>
      <c r="M11" s="17" t="inlineStr">
        <is>
          <t>착수 전</t>
        </is>
      </c>
      <c r="N11" s="18" t="n">
        <v>0</v>
      </c>
      <c r="O11" s="14" t="inlineStr"/>
    </row>
    <row r="12" ht="78" customHeight="1">
      <c r="A12" s="11" t="n">
        <v>10</v>
      </c>
      <c r="B12" s="22" t="inlineStr">
        <is>
          <t>교육</t>
        </is>
      </c>
      <c r="C12" s="23" t="inlineStr">
        <is>
          <t>제2의 은행사거리! 명품 교육도시 월계</t>
        </is>
      </c>
      <c r="D12" s="14" t="inlineStr">
        <is>
          <t>월계동 맞춤형 공공 등교버스 추진</t>
        </is>
      </c>
      <c r="E12" s="14" t="inlineStr">
        <is>
          <t>서울시·교육청 통학 지원 예산 확보, 지원 조례 발의, 통학로 실태 현장조사</t>
        </is>
      </c>
      <c r="F12" s="14" t="inlineStr">
        <is>
          <t>교통·교육 소관 연계</t>
        </is>
      </c>
      <c r="G12" s="15" t="inlineStr">
        <is>
          <t>통학로 실태·타 지역 등교버스 사례 조사</t>
        </is>
      </c>
      <c r="H12" s="19" t="inlineStr">
        <is>
          <t>협력</t>
        </is>
      </c>
      <c r="I12" s="11" t="inlineStr">
        <is>
          <t>예산·현장</t>
        </is>
      </c>
      <c r="J12" s="14" t="inlineStr">
        <is>
          <t>공공 등교버스 노선 운행 개시</t>
        </is>
      </c>
      <c r="K12" s="14" t="inlineStr">
        <is>
          <t>운행 노선 수 / 이용 학생 수</t>
        </is>
      </c>
      <c r="L12" s="11" t="inlineStr">
        <is>
          <t>2026~2028</t>
        </is>
      </c>
      <c r="M12" s="17" t="inlineStr">
        <is>
          <t>착수 전</t>
        </is>
      </c>
      <c r="N12" s="18" t="n">
        <v>0</v>
      </c>
      <c r="O12" s="14" t="inlineStr"/>
    </row>
    <row r="13" ht="78" customHeight="1">
      <c r="A13" s="11" t="n">
        <v>11</v>
      </c>
      <c r="B13" s="24" t="inlineStr">
        <is>
          <t>주거</t>
        </is>
      </c>
      <c r="C13" s="25" t="inlineStr">
        <is>
          <t>재건축·재개발은 신속하게, 세입자는 따뜻하게</t>
        </is>
      </c>
      <c r="D13" s="14" t="inlineStr">
        <is>
          <t>미미삼·삼호4차·동신·중흥·534번지 등 정비사업 신속 지원</t>
        </is>
      </c>
      <c r="E13" s="14" t="inlineStr">
        <is>
          <t>서울시 도시계획위·정비계획 심의 촉진, 시정질문으로 인허가 단축 요구, 조합-서울시 협의</t>
        </is>
      </c>
      <c r="F13" s="26" t="inlineStr">
        <is>
          <t>소관 상임위 정비사업 안건 직접 심사, 주택정책실·SH 대상 행정사무감사, 부위원장 권한 안건 우선 상정, 정비 지원 조례 발의</t>
        </is>
      </c>
      <c r="G13" s="15" t="inlineStr">
        <is>
          <t>정비구역별 추진현황·심의일정 DB 구축, 서울시 정비 예산·조례 분석, 행정사무감사 요구자료 목록·질의서 초안 작성</t>
        </is>
      </c>
      <c r="H13" s="27" t="inlineStr">
        <is>
          <t>소관·핵심</t>
        </is>
      </c>
      <c r="I13" s="11" t="inlineStr">
        <is>
          <t>감시·협의</t>
        </is>
      </c>
      <c r="J13" s="14" t="inlineStr">
        <is>
          <t>주요 정비구역 심의 통과·사업시행인가 등 단계 진척</t>
        </is>
      </c>
      <c r="K13" s="14" t="inlineStr">
        <is>
          <t>단계 진척(정비계획→인가→착공) / 구역 수</t>
        </is>
      </c>
      <c r="L13" s="11" t="inlineStr">
        <is>
          <t>2026~2030</t>
        </is>
      </c>
      <c r="M13" s="17" t="inlineStr">
        <is>
          <t>착수 전</t>
        </is>
      </c>
      <c r="N13" s="18" t="n">
        <v>0</v>
      </c>
      <c r="O13" s="14" t="inlineStr"/>
    </row>
    <row r="14" ht="78" customHeight="1">
      <c r="A14" s="11" t="n">
        <v>12</v>
      </c>
      <c r="B14" s="24" t="inlineStr">
        <is>
          <t>주거</t>
        </is>
      </c>
      <c r="C14" s="25" t="inlineStr">
        <is>
          <t>재건축·재개발은 신속하게, 세입자는 따뜻하게</t>
        </is>
      </c>
      <c r="D14" s="14" t="inlineStr">
        <is>
          <t>정비사업 퇴거 세입자 전세자금 대출 지원 확대(소득기준 완화)</t>
        </is>
      </c>
      <c r="E14" s="14" t="inlineStr">
        <is>
          <t>서울시 주거복지 예산 확보, 세입자 지원 조례 개정 발의, 대상기준 완화 촉구</t>
        </is>
      </c>
      <c r="F14" s="26" t="inlineStr">
        <is>
          <t>주택정책실 대상 예산 증액·세입자 지원 조례 개정을 소관 위원으로 직접 추진</t>
        </is>
      </c>
      <c r="G14" s="15" t="inlineStr">
        <is>
          <t>타 시도 세입자 지원제도·소득기준 비교조사, 조례 개정안 검토·예산 소요 추계 정리</t>
        </is>
      </c>
      <c r="H14" s="27" t="inlineStr">
        <is>
          <t>소관·핵심</t>
        </is>
      </c>
      <c r="I14" s="11" t="inlineStr">
        <is>
          <t>예산·조례</t>
        </is>
      </c>
      <c r="J14" s="14" t="inlineStr">
        <is>
          <t>세입자 전세대출 지원 소득기준 완화·수혜 확대</t>
        </is>
      </c>
      <c r="K14" s="14" t="inlineStr">
        <is>
          <t>완화된 소득기준 / 수혜 세입자 수</t>
        </is>
      </c>
      <c r="L14" s="11" t="inlineStr">
        <is>
          <t>2026~2028</t>
        </is>
      </c>
      <c r="M14" s="17" t="inlineStr">
        <is>
          <t>착수 전</t>
        </is>
      </c>
      <c r="N14" s="18" t="n">
        <v>0</v>
      </c>
      <c r="O14" s="14" t="inlineStr"/>
    </row>
    <row r="15" ht="78" customHeight="1">
      <c r="A15" s="11" t="n">
        <v>13</v>
      </c>
      <c r="B15" s="24" t="inlineStr">
        <is>
          <t>주거</t>
        </is>
      </c>
      <c r="C15" s="25" t="inlineStr">
        <is>
          <t>재건축·재개발은 신속하게, 세입자는 따뜻하게</t>
        </is>
      </c>
      <c r="D15" s="14" t="inlineStr">
        <is>
          <t>노원구 관내 이전 유도 정책 도입</t>
        </is>
      </c>
      <c r="E15" s="14" t="inlineStr">
        <is>
          <t>이주민 정착 지원 예산 편성, 관련 조례 발의, 자치구-서울시 정책 협의</t>
        </is>
      </c>
      <c r="F15" s="26" t="inlineStr">
        <is>
          <t>주거재생 정책으로 이주 지원 조례·예산을 소관 위원으로 직접 설계</t>
        </is>
      </c>
      <c r="G15" s="15" t="inlineStr">
        <is>
          <t>이주민 재정착 사례·통계 수집, 조례 초안 입법례 조사</t>
        </is>
      </c>
      <c r="H15" s="27" t="inlineStr">
        <is>
          <t>소관·핵심</t>
        </is>
      </c>
      <c r="I15" s="11" t="inlineStr">
        <is>
          <t>예산·조례</t>
        </is>
      </c>
      <c r="J15" s="14" t="inlineStr">
        <is>
          <t>정비사업 이주민 관내 재정착 지원제도 도입</t>
        </is>
      </c>
      <c r="K15" s="14" t="inlineStr">
        <is>
          <t>제도 도입 여부 / 관내 재정착률(%)</t>
        </is>
      </c>
      <c r="L15" s="11" t="inlineStr">
        <is>
          <t>2026~2029</t>
        </is>
      </c>
      <c r="M15" s="17" t="inlineStr">
        <is>
          <t>착수 전</t>
        </is>
      </c>
      <c r="N15" s="18" t="n">
        <v>0</v>
      </c>
      <c r="O15" s="14" t="inlineStr"/>
    </row>
    <row r="16" ht="78" customHeight="1">
      <c r="A16" s="11" t="n">
        <v>14</v>
      </c>
      <c r="B16" s="28" t="inlineStr">
        <is>
          <t>청년·가족</t>
        </is>
      </c>
      <c r="C16" s="29" t="inlineStr">
        <is>
          <t>신혼부부 워너비 도시! 임신부터 출산까지 책임</t>
        </is>
      </c>
      <c r="D16" s="14" t="inlineStr">
        <is>
          <t>동북권 최초 국·공립 산후조리원 유치 + 출산 바우처 확대</t>
        </is>
      </c>
      <c r="E16" s="14" t="inlineStr">
        <is>
          <t>서울시 보건복지 예산 확보, 공공산후조리원 설치·바우처 조례 발의, 부지·운영 협의</t>
        </is>
      </c>
      <c r="F16" s="14" t="inlineStr">
        <is>
          <t>보건복지위 소관 / 신혼부부 공공주택 연계는 소관 활용</t>
        </is>
      </c>
      <c r="G16" s="15" t="inlineStr">
        <is>
          <t>공공산후조리원 설치·운영 사례·예산 조사, 보건복지위 자료 연계</t>
        </is>
      </c>
      <c r="H16" s="19" t="inlineStr">
        <is>
          <t>협력</t>
        </is>
      </c>
      <c r="I16" s="11" t="inlineStr">
        <is>
          <t>예산·조례</t>
        </is>
      </c>
      <c r="J16" s="14" t="inlineStr">
        <is>
          <t>공공 산후조리원 건립·개원, 출산 바우처 확대</t>
        </is>
      </c>
      <c r="K16" s="14" t="inlineStr">
        <is>
          <t>개원 여부 / 이용 산모 수·바우처 지원액</t>
        </is>
      </c>
      <c r="L16" s="11" t="inlineStr">
        <is>
          <t>2026~2030</t>
        </is>
      </c>
      <c r="M16" s="17" t="inlineStr">
        <is>
          <t>착수 전</t>
        </is>
      </c>
      <c r="N16" s="18" t="n">
        <v>0</v>
      </c>
      <c r="O16" s="14" t="inlineStr"/>
    </row>
    <row r="17" ht="78" customHeight="1">
      <c r="A17" s="11" t="n">
        <v>15</v>
      </c>
      <c r="B17" s="28" t="inlineStr">
        <is>
          <t>청년·가족</t>
        </is>
      </c>
      <c r="C17" s="29" t="inlineStr">
        <is>
          <t>신혼부부 워너비 도시! 임신부터 출산까지 책임</t>
        </is>
      </c>
      <c r="D17" s="14" t="inlineStr">
        <is>
          <t>서울형 '임산부 기본소득(지역화폐)' 추진</t>
        </is>
      </c>
      <c r="E17" s="14" t="inlineStr">
        <is>
          <t>서울시 예산 확보, 임산부 기본소득 지원 조례 발의, 시정질문으로 지급시점 앞당김 촉구</t>
        </is>
      </c>
      <c r="F17" s="14" t="inlineStr">
        <is>
          <t>복지·기획 소관 연계</t>
        </is>
      </c>
      <c r="G17" s="15" t="inlineStr">
        <is>
          <t>임산부 지원 지역화폐 타 사례·법적근거 조사</t>
        </is>
      </c>
      <c r="H17" s="19" t="inlineStr">
        <is>
          <t>협력</t>
        </is>
      </c>
      <c r="I17" s="11" t="inlineStr">
        <is>
          <t>조례·예산</t>
        </is>
      </c>
      <c r="J17" s="14" t="inlineStr">
        <is>
          <t>임신 인지시점부터 임산부 기본소득(지역화폐) 지급</t>
        </is>
      </c>
      <c r="K17" s="14" t="inlineStr">
        <is>
          <t>조례 시행 여부 / 지급 대상·금액</t>
        </is>
      </c>
      <c r="L17" s="11" t="inlineStr">
        <is>
          <t>2026~2028</t>
        </is>
      </c>
      <c r="M17" s="17" t="inlineStr">
        <is>
          <t>착수 전</t>
        </is>
      </c>
      <c r="N17" s="18" t="n">
        <v>0</v>
      </c>
      <c r="O17" s="14" t="inlineStr"/>
    </row>
    <row r="18" ht="78" customHeight="1">
      <c r="A18" s="11" t="n">
        <v>16</v>
      </c>
      <c r="B18" s="30" t="inlineStr">
        <is>
          <t>복지</t>
        </is>
      </c>
      <c r="C18" s="31" t="inlineStr">
        <is>
          <t>일자리가 최고의 복지! 전 세대 일자리 복지</t>
        </is>
      </c>
      <c r="D18" s="14" t="inlineStr">
        <is>
          <t>전 세대 맞춤형 공공 일자리 대폭 확대</t>
        </is>
      </c>
      <c r="E18" s="14" t="inlineStr">
        <is>
          <t>서울시 일자리 예산 증액 요구, 공공일자리 조례 개정, 행정사무감사로 집행 점검</t>
        </is>
      </c>
      <c r="F18" s="14" t="inlineStr">
        <is>
          <t>기획경제·복지 소관 연계</t>
        </is>
      </c>
      <c r="G18" s="15" t="inlineStr">
        <is>
          <t>공공일자리 사업 예산·집행 실적 자료수집</t>
        </is>
      </c>
      <c r="H18" s="19" t="inlineStr">
        <is>
          <t>협력</t>
        </is>
      </c>
      <c r="I18" s="11" t="inlineStr">
        <is>
          <t>예산·감시</t>
        </is>
      </c>
      <c r="J18" s="14" t="inlineStr">
        <is>
          <t>어르신·중장년·청년 공공일자리 확대 제공</t>
        </is>
      </c>
      <c r="K18" s="14" t="inlineStr">
        <is>
          <t>신규 공공일자리 수 / 참여 인원</t>
        </is>
      </c>
      <c r="L18" s="11" t="inlineStr">
        <is>
          <t>2026~2029</t>
        </is>
      </c>
      <c r="M18" s="17" t="inlineStr">
        <is>
          <t>착수 전</t>
        </is>
      </c>
      <c r="N18" s="18" t="n">
        <v>0</v>
      </c>
      <c r="O18" s="14" t="inlineStr"/>
    </row>
    <row r="19" ht="78" customHeight="1">
      <c r="A19" s="11" t="n">
        <v>17</v>
      </c>
      <c r="B19" s="30" t="inlineStr">
        <is>
          <t>복지</t>
        </is>
      </c>
      <c r="C19" s="31" t="inlineStr">
        <is>
          <t>일자리가 최고의 복지! 전 세대 일자리 복지</t>
        </is>
      </c>
      <c r="D19" s="14" t="inlineStr">
        <is>
          <t>SH·LH 공공아파트 주거·생활 민원 신속 처리</t>
        </is>
      </c>
      <c r="E19" s="14" t="inlineStr">
        <is>
          <t>국회·서울시·SH 협의 중개, 시정질문으로 처리 촉구, 현장민원실 접수·이관</t>
        </is>
      </c>
      <c r="F19" s="26" t="inlineStr">
        <is>
          <t>SH공사 소관 → 행정사무감사에서 민원처리 실태 점검·개선 요구, 관련 예산 반영 (직접 지렛대)</t>
        </is>
      </c>
      <c r="G19" s="15" t="inlineStr">
        <is>
          <t>SH공사 민원처리 실태 자료요구·분석, 행정사무감사 질의 포인트 정리</t>
        </is>
      </c>
      <c r="H19" s="27" t="inlineStr">
        <is>
          <t>소관·핵심</t>
        </is>
      </c>
      <c r="I19" s="11" t="inlineStr">
        <is>
          <t>감시·현장</t>
        </is>
      </c>
      <c r="J19" s="14" t="inlineStr">
        <is>
          <t>공공아파트 주거·생활 민원 처리기간 단축</t>
        </is>
      </c>
      <c r="K19" s="14" t="inlineStr">
        <is>
          <t>민원 처리 건수 / 평균 처리기간</t>
        </is>
      </c>
      <c r="L19" s="11" t="inlineStr">
        <is>
          <t>상시</t>
        </is>
      </c>
      <c r="M19" s="17" t="inlineStr">
        <is>
          <t>착수 전</t>
        </is>
      </c>
      <c r="N19" s="18" t="n">
        <v>0</v>
      </c>
      <c r="O19" s="14" t="inlineStr"/>
    </row>
    <row r="20" ht="78" customHeight="1">
      <c r="A20" s="11" t="n">
        <v>18</v>
      </c>
      <c r="B20" s="30" t="inlineStr">
        <is>
          <t>복지</t>
        </is>
      </c>
      <c r="C20" s="31" t="inlineStr">
        <is>
          <t>일자리가 최고의 복지! 전 세대 일자리 복지</t>
        </is>
      </c>
      <c r="D20" s="14" t="inlineStr">
        <is>
          <t>대중교통 무장애 환경 조성(석계역 1번출구 엘리베이터 등)</t>
        </is>
      </c>
      <c r="E20" s="14" t="inlineStr">
        <is>
          <t>서울시 교통약자 이동편의 예산 확보, 시정질문, 서울교통공사 시설 협의</t>
        </is>
      </c>
      <c r="F20" s="14" t="inlineStr">
        <is>
          <t>교통위 소관 연계</t>
        </is>
      </c>
      <c r="G20" s="15" t="inlineStr">
        <is>
          <t>교통약자 이동편의시설 현황·설치기준 조사, 교통위 자료 연계</t>
        </is>
      </c>
      <c r="H20" s="19" t="inlineStr">
        <is>
          <t>협력</t>
        </is>
      </c>
      <c r="I20" s="11" t="inlineStr">
        <is>
          <t>예산·협의</t>
        </is>
      </c>
      <c r="J20" s="14" t="inlineStr">
        <is>
          <t>석계역 승강기·전동휠체어 진입로 등 무장애 시설 설치</t>
        </is>
      </c>
      <c r="K20" s="14" t="inlineStr">
        <is>
          <t>무장애 시설 설치 수 / 대상 역사</t>
        </is>
      </c>
      <c r="L20" s="11" t="inlineStr">
        <is>
          <t>2026~2029</t>
        </is>
      </c>
      <c r="M20" s="17" t="inlineStr">
        <is>
          <t>착수 전</t>
        </is>
      </c>
      <c r="N20" s="18" t="n">
        <v>0</v>
      </c>
      <c r="O20" s="14" t="inlineStr"/>
    </row>
    <row r="21" ht="78" customHeight="1">
      <c r="A21" s="11" t="n">
        <v>19</v>
      </c>
      <c r="B21" s="32" t="inlineStr">
        <is>
          <t>민생</t>
        </is>
      </c>
      <c r="C21" s="33" t="inlineStr">
        <is>
          <t>상권에 활력을! 소상공인이 웃는 지역경제 1번지</t>
        </is>
      </c>
      <c r="D21" s="14" t="inlineStr">
        <is>
          <t>노원형 지역화폐 환급제도 도입(여가·문화시설 사용료 일부 환급)</t>
        </is>
      </c>
      <c r="E21" s="14" t="inlineStr">
        <is>
          <t>서울시·자치구 지역화폐 예산 확보, 환급제도 근거 조례 발의, 자치구 협의</t>
        </is>
      </c>
      <c r="F21" s="14" t="inlineStr">
        <is>
          <t>기획경제 소관 연계</t>
        </is>
      </c>
      <c r="G21" s="15" t="inlineStr">
        <is>
          <t>지역화폐 환급제도 타 사례·예산 조사</t>
        </is>
      </c>
      <c r="H21" s="19" t="inlineStr">
        <is>
          <t>협력</t>
        </is>
      </c>
      <c r="I21" s="11" t="inlineStr">
        <is>
          <t>조례·예산</t>
        </is>
      </c>
      <c r="J21" s="14" t="inlineStr">
        <is>
          <t>여가·문화시설 사용료 지역화폐 환급 선순환 구축</t>
        </is>
      </c>
      <c r="K21" s="14" t="inlineStr">
        <is>
          <t>환급 이용 건수 / 골목상권 소비 증가</t>
        </is>
      </c>
      <c r="L21" s="11" t="inlineStr">
        <is>
          <t>2026~2028</t>
        </is>
      </c>
      <c r="M21" s="17" t="inlineStr">
        <is>
          <t>착수 전</t>
        </is>
      </c>
      <c r="N21" s="18" t="n">
        <v>0</v>
      </c>
      <c r="O21" s="14" t="inlineStr"/>
    </row>
    <row r="22" ht="78" customHeight="1">
      <c r="A22" s="11" t="n">
        <v>20</v>
      </c>
      <c r="B22" s="32" t="inlineStr">
        <is>
          <t>민생</t>
        </is>
      </c>
      <c r="C22" s="33" t="inlineStr">
        <is>
          <t>상권에 활력을! 소상공인이 웃는 지역경제 1번지</t>
        </is>
      </c>
      <c r="D22" s="14" t="inlineStr">
        <is>
          <t>월계동 골목형 상점가 확대(온누리상품권 사용처·특화축제)</t>
        </is>
      </c>
      <c r="E22" s="14" t="inlineStr">
        <is>
          <t>상권 활성화 예산 편성 요구, 골목상권 지원 조례 발의, 상인회 간담회</t>
        </is>
      </c>
      <c r="F22" s="14" t="inlineStr">
        <is>
          <t>기획경제 소관 연계</t>
        </is>
      </c>
      <c r="G22" s="15" t="inlineStr">
        <is>
          <t>골목형 상점가 지정요건·온누리상품권 사용현황 조사</t>
        </is>
      </c>
      <c r="H22" s="19" t="inlineStr">
        <is>
          <t>협력</t>
        </is>
      </c>
      <c r="I22" s="11" t="inlineStr">
        <is>
          <t>예산·현장</t>
        </is>
      </c>
      <c r="J22" s="14" t="inlineStr">
        <is>
          <t>골목형 상점가 지정 확대, 특화축제 개최</t>
        </is>
      </c>
      <c r="K22" s="14" t="inlineStr">
        <is>
          <t>지정 상점가 수 / 상품권 사용액·축제 수</t>
        </is>
      </c>
      <c r="L22" s="11" t="inlineStr">
        <is>
          <t>2026~2029</t>
        </is>
      </c>
      <c r="M22" s="17" t="inlineStr">
        <is>
          <t>착수 전</t>
        </is>
      </c>
      <c r="N22" s="18" t="n">
        <v>0</v>
      </c>
      <c r="O22" s="14" t="inlineStr"/>
    </row>
    <row r="23" ht="78" customHeight="1">
      <c r="A23" s="11" t="n">
        <v>21</v>
      </c>
      <c r="B23" s="34" t="inlineStr">
        <is>
          <t>일상</t>
        </is>
      </c>
      <c r="C23" s="35" t="inlineStr">
        <is>
          <t>구석구석 안전하게! 생활 속 불편 해결</t>
        </is>
      </c>
      <c r="D23" s="14" t="inlineStr">
        <is>
          <t>겨울철 낙상 제로! 언덕길 열선 확대(영축산 등)</t>
        </is>
      </c>
      <c r="E23" s="14" t="inlineStr">
        <is>
          <t>서울시 도로안전 예산 확보, 시정질문으로 열선구역 확대 요구, 현장 위험구간 조사</t>
        </is>
      </c>
      <c r="F23" s="14" t="inlineStr">
        <is>
          <t>도시안전건설위 소관 / 도시공간 정비와 연계</t>
        </is>
      </c>
      <c r="G23" s="15" t="inlineStr">
        <is>
          <t>열선 설치구간·예산 단가 자료수집, 도시안전건설위 자료 연계</t>
        </is>
      </c>
      <c r="H23" s="19" t="inlineStr">
        <is>
          <t>협력</t>
        </is>
      </c>
      <c r="I23" s="11" t="inlineStr">
        <is>
          <t>예산·현장</t>
        </is>
      </c>
      <c r="J23" s="14" t="inlineStr">
        <is>
          <t>비탈길 열선 설치구간 확대</t>
        </is>
      </c>
      <c r="K23" s="14" t="inlineStr">
        <is>
          <t>신규 열선 설치 구간 수(개소)</t>
        </is>
      </c>
      <c r="L23" s="11" t="inlineStr">
        <is>
          <t>2026~2028</t>
        </is>
      </c>
      <c r="M23" s="17" t="inlineStr">
        <is>
          <t>착수 전</t>
        </is>
      </c>
      <c r="N23" s="18" t="n">
        <v>0</v>
      </c>
      <c r="O23" s="14" t="inlineStr"/>
    </row>
    <row r="24" ht="78" customHeight="1">
      <c r="A24" s="11" t="n">
        <v>22</v>
      </c>
      <c r="B24" s="34" t="inlineStr">
        <is>
          <t>일상</t>
        </is>
      </c>
      <c r="C24" s="35" t="inlineStr">
        <is>
          <t>구석구석 안전하게! 생활 속 불편 해결</t>
        </is>
      </c>
      <c r="D24" s="14" t="inlineStr">
        <is>
          <t>안심하고 걷는 거리, 싱크홀 예방(도로·보행 안전 예산 확대)</t>
        </is>
      </c>
      <c r="E24" s="14" t="inlineStr">
        <is>
          <t>서울시 도로·지반안전 예산 증액 요구, 행정사무감사로 노후관로 점검 촉구</t>
        </is>
      </c>
      <c r="F24" s="14" t="inlineStr">
        <is>
          <t>도시안전건설위 소관 연계</t>
        </is>
      </c>
      <c r="G24" s="15" t="inlineStr">
        <is>
          <t>노후관로·지반침하 점검 현황 자료요구</t>
        </is>
      </c>
      <c r="H24" s="19" t="inlineStr">
        <is>
          <t>협력</t>
        </is>
      </c>
      <c r="I24" s="11" t="inlineStr">
        <is>
          <t>예산·감시</t>
        </is>
      </c>
      <c r="J24" s="14" t="inlineStr">
        <is>
          <t>싱크홀 예방 점검·보수 및 보행안전 시설 확충</t>
        </is>
      </c>
      <c r="K24" s="14" t="inlineStr">
        <is>
          <t>점검·보수 구간 수 / 사고 발생 건수</t>
        </is>
      </c>
      <c r="L24" s="11" t="inlineStr">
        <is>
          <t>상시</t>
        </is>
      </c>
      <c r="M24" s="17" t="inlineStr">
        <is>
          <t>착수 전</t>
        </is>
      </c>
      <c r="N24" s="18" t="n">
        <v>0</v>
      </c>
      <c r="O24" s="14" t="inlineStr"/>
    </row>
    <row r="25" ht="78" customHeight="1">
      <c r="A25" s="11" t="n">
        <v>23</v>
      </c>
      <c r="B25" s="34" t="inlineStr">
        <is>
          <t>일상</t>
        </is>
      </c>
      <c r="C25" s="35" t="inlineStr">
        <is>
          <t>구석구석 안전하게! 생활 속 불편 해결</t>
        </is>
      </c>
      <c r="D25" s="14" t="inlineStr">
        <is>
          <t>대중교통 대기 쾌적화(석계역 1호선 냉난방 쉼터·버스정류장 따숨쉼터)</t>
        </is>
      </c>
      <c r="E25" s="14" t="inlineStr">
        <is>
          <t>서울시 교통편의 예산 확보, 시정질문, 서울교통공사·버스업체 협의</t>
        </is>
      </c>
      <c r="F25" s="14" t="inlineStr">
        <is>
          <t>교통위 소관 연계</t>
        </is>
      </c>
      <c r="G25" s="15" t="inlineStr">
        <is>
          <t>냉난방쉼터·정류장 쉼터 설치기준·사례 조사</t>
        </is>
      </c>
      <c r="H25" s="19" t="inlineStr">
        <is>
          <t>협력</t>
        </is>
      </c>
      <c r="I25" s="11" t="inlineStr">
        <is>
          <t>예산·협의</t>
        </is>
      </c>
      <c r="J25" s="14" t="inlineStr">
        <is>
          <t>석계역 냉난방쉼터·버스정류장 쉼터 신설·확대</t>
        </is>
      </c>
      <c r="K25" s="14" t="inlineStr">
        <is>
          <t>설치 쉼터 수 / 이용 만족도</t>
        </is>
      </c>
      <c r="L25" s="11" t="inlineStr">
        <is>
          <t>2026~2028</t>
        </is>
      </c>
      <c r="M25" s="17" t="inlineStr">
        <is>
          <t>착수 전</t>
        </is>
      </c>
      <c r="N25" s="18" t="n">
        <v>0</v>
      </c>
      <c r="O25" s="14" t="inlineStr"/>
    </row>
    <row r="26" ht="78" customHeight="1">
      <c r="A26" s="11" t="n">
        <v>24</v>
      </c>
      <c r="B26" s="34" t="inlineStr">
        <is>
          <t>일상</t>
        </is>
      </c>
      <c r="C26" s="35" t="inlineStr">
        <is>
          <t>구석구석 안전하게! 생활 속 불편 해결</t>
        </is>
      </c>
      <c r="D26" s="14" t="inlineStr">
        <is>
          <t>주민 배려형 디테일 행정(이마트 진입로 교통체증 해소 연구용역)</t>
        </is>
      </c>
      <c r="E26" s="14" t="inlineStr">
        <is>
          <t>서울시 교통개선 연구용역 예산 확보, 시정질문으로 즉각 추진 요구, 주민 수요 조사</t>
        </is>
      </c>
      <c r="F26" s="14" t="inlineStr">
        <is>
          <t>교통위 소관 연계</t>
        </is>
      </c>
      <c r="G26" s="15" t="inlineStr">
        <is>
          <t>교통체증 해소 연구용역 과업내용·예산 검토, 주민 수요조사 정리</t>
        </is>
      </c>
      <c r="H26" s="19" t="inlineStr">
        <is>
          <t>협력</t>
        </is>
      </c>
      <c r="I26" s="11" t="inlineStr">
        <is>
          <t>예산·현장</t>
        </is>
      </c>
      <c r="J26" s="14" t="inlineStr">
        <is>
          <t>이마트 진입로 교통체증 해소 연구용역 착수·이행</t>
        </is>
      </c>
      <c r="K26" s="14" t="inlineStr">
        <is>
          <t>용역 착수 여부 / 정체 개선 효과</t>
        </is>
      </c>
      <c r="L26" s="11" t="inlineStr">
        <is>
          <t>2026~2027</t>
        </is>
      </c>
      <c r="M26" s="17" t="inlineStr">
        <is>
          <t>착수 전</t>
        </is>
      </c>
      <c r="N26" s="18" t="n">
        <v>0</v>
      </c>
      <c r="O26" s="14" t="inlineStr"/>
    </row>
  </sheetData>
  <mergeCells count="1">
    <mergeCell ref="A1:O1"/>
  </mergeCells>
  <dataValidations count="2">
    <dataValidation sqref="M3:M26" showDropDown="0" showInputMessage="0" showErrorMessage="0" allowBlank="1" type="list">
      <formula1>"착수 전,추진 중,일부 달성,목표 달성,보류·무산"</formula1>
    </dataValidation>
    <dataValidation sqref="N3:N26" showDropDown="0" showInputMessage="0" showErrorMessage="0" allowBlank="1" errorTitle="달성률 범위" error="0에서 100 사이 숫자를 입력하세요." type="whole" operator="between">
      <formula1>0</formula1>
      <formula2>100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4" customWidth="1" min="4" max="4"/>
    <col width="14" customWidth="1" min="5" max="5"/>
    <col width="40" customWidth="1" min="6" max="6"/>
  </cols>
  <sheetData>
    <row r="2">
      <c r="B2" s="36" t="inlineStr">
        <is>
          <t>분야별 공약 달성도 요약 대시보드</t>
        </is>
      </c>
    </row>
    <row r="3">
      <c r="B3" s="37" t="inlineStr">
        <is>
          <t>'공약 달성도 트래커' 탭의 달성률·진행단계를 자동 집계합니다.</t>
        </is>
      </c>
    </row>
    <row r="5" ht="22" customHeight="1">
      <c r="B5" s="9" t="inlineStr">
        <is>
          <t>분야</t>
        </is>
      </c>
      <c r="C5" s="9" t="inlineStr">
        <is>
          <t>공약 건수</t>
        </is>
      </c>
      <c r="D5" s="9" t="inlineStr">
        <is>
          <t>평균 달성률</t>
        </is>
      </c>
      <c r="E5" s="9" t="inlineStr">
        <is>
          <t>목표 달성</t>
        </is>
      </c>
      <c r="F5" s="9" t="inlineStr">
        <is>
          <t>추진 중</t>
        </is>
      </c>
      <c r="G5" s="9" t="inlineStr">
        <is>
          <t>슬로건</t>
        </is>
      </c>
    </row>
    <row r="6">
      <c r="B6" s="38" t="inlineStr">
        <is>
          <t>경제</t>
        </is>
      </c>
      <c r="C6" s="39">
        <f>COUNTIF('공약 달성도 트래커'!$B$3:$B$26,$B6)</f>
        <v>4</v>
      </c>
      <c r="D6" s="40">
        <f>IFERROR(AVERAGEIF('공약 달성도 트래커'!$B$3:$B$26,$B6,'공약 달성도 트래커'!$N$3:$N$26),0)</f>
        <v>0</v>
      </c>
      <c r="E6" s="39">
        <f>COUNTIFS('공약 달성도 트래커'!$B$3:$B$26,$B6,'공약 달성도 트래커'!$M$3:$M$26,"목표 달성")</f>
        <v>0</v>
      </c>
      <c r="F6" s="39">
        <f>COUNTIFS('공약 달성도 트래커'!$B$3:$B$26,$B6,'공약 달성도 트래커'!$M$3:$M$26,"추진 중")</f>
        <v>0</v>
      </c>
      <c r="G6" s="14" t="inlineStr">
        <is>
          <t>월계동을 '강북의 판교'·'서울의 실리콘밸리'로</t>
        </is>
      </c>
    </row>
    <row r="7">
      <c r="B7" s="41" t="inlineStr">
        <is>
          <t>교통</t>
        </is>
      </c>
      <c r="C7" s="39">
        <f>COUNTIF('공약 달성도 트래커'!$B$3:$B$26,$B7)</f>
        <v>3</v>
      </c>
      <c r="D7" s="40">
        <f>IFERROR(AVERAGEIF('공약 달성도 트래커'!$B$3:$B$26,$B7,'공약 달성도 트래커'!$N$3:$N$26),0)</f>
        <v>0</v>
      </c>
      <c r="E7" s="39">
        <f>COUNTIFS('공약 달성도 트래커'!$B$3:$B$26,$B7,'공약 달성도 트래커'!$M$3:$M$26,"목표 달성")</f>
        <v>0</v>
      </c>
      <c r="F7" s="39">
        <f>COUNTIFS('공약 달성도 트래커'!$B$3:$B$26,$B7,'공약 달성도 트래커'!$M$3:$M$26,"추진 중")</f>
        <v>0</v>
      </c>
      <c r="G7" s="14" t="inlineStr">
        <is>
          <t>사통팔달 교통혁신으로 더 살기 좋은 월계</t>
        </is>
      </c>
    </row>
    <row r="8">
      <c r="B8" s="42" t="inlineStr">
        <is>
          <t>교육</t>
        </is>
      </c>
      <c r="C8" s="39">
        <f>COUNTIF('공약 달성도 트래커'!$B$3:$B$26,$B8)</f>
        <v>3</v>
      </c>
      <c r="D8" s="40">
        <f>IFERROR(AVERAGEIF('공약 달성도 트래커'!$B$3:$B$26,$B8,'공약 달성도 트래커'!$N$3:$N$26),0)</f>
        <v>0</v>
      </c>
      <c r="E8" s="39">
        <f>COUNTIFS('공약 달성도 트래커'!$B$3:$B$26,$B8,'공약 달성도 트래커'!$M$3:$M$26,"목표 달성")</f>
        <v>0</v>
      </c>
      <c r="F8" s="39">
        <f>COUNTIFS('공약 달성도 트래커'!$B$3:$B$26,$B8,'공약 달성도 트래커'!$M$3:$M$26,"추진 중")</f>
        <v>0</v>
      </c>
      <c r="G8" s="14" t="inlineStr">
        <is>
          <t>제2의 은행사거리! 명품 교육도시 월계</t>
        </is>
      </c>
    </row>
    <row r="9">
      <c r="B9" s="43" t="inlineStr">
        <is>
          <t>주거</t>
        </is>
      </c>
      <c r="C9" s="39">
        <f>COUNTIF('공약 달성도 트래커'!$B$3:$B$26,$B9)</f>
        <v>3</v>
      </c>
      <c r="D9" s="40">
        <f>IFERROR(AVERAGEIF('공약 달성도 트래커'!$B$3:$B$26,$B9,'공약 달성도 트래커'!$N$3:$N$26),0)</f>
        <v>0</v>
      </c>
      <c r="E9" s="39">
        <f>COUNTIFS('공약 달성도 트래커'!$B$3:$B$26,$B9,'공약 달성도 트래커'!$M$3:$M$26,"목표 달성")</f>
        <v>0</v>
      </c>
      <c r="F9" s="39">
        <f>COUNTIFS('공약 달성도 트래커'!$B$3:$B$26,$B9,'공약 달성도 트래커'!$M$3:$M$26,"추진 중")</f>
        <v>0</v>
      </c>
      <c r="G9" s="14" t="inlineStr">
        <is>
          <t>재건축·재개발은 신속하게, 세입자는 따뜻하게</t>
        </is>
      </c>
    </row>
    <row r="10">
      <c r="B10" s="44" t="inlineStr">
        <is>
          <t>청년·가족</t>
        </is>
      </c>
      <c r="C10" s="39">
        <f>COUNTIF('공약 달성도 트래커'!$B$3:$B$26,$B10)</f>
        <v>2</v>
      </c>
      <c r="D10" s="40">
        <f>IFERROR(AVERAGEIF('공약 달성도 트래커'!$B$3:$B$26,$B10,'공약 달성도 트래커'!$N$3:$N$26),0)</f>
        <v>0</v>
      </c>
      <c r="E10" s="39">
        <f>COUNTIFS('공약 달성도 트래커'!$B$3:$B$26,$B10,'공약 달성도 트래커'!$M$3:$M$26,"목표 달성")</f>
        <v>0</v>
      </c>
      <c r="F10" s="39">
        <f>COUNTIFS('공약 달성도 트래커'!$B$3:$B$26,$B10,'공약 달성도 트래커'!$M$3:$M$26,"추진 중")</f>
        <v>0</v>
      </c>
      <c r="G10" s="14" t="inlineStr">
        <is>
          <t>신혼부부 워너비 도시! 임신부터 출산까지 책임</t>
        </is>
      </c>
    </row>
    <row r="11">
      <c r="B11" s="45" t="inlineStr">
        <is>
          <t>복지</t>
        </is>
      </c>
      <c r="C11" s="39">
        <f>COUNTIF('공약 달성도 트래커'!$B$3:$B$26,$B11)</f>
        <v>3</v>
      </c>
      <c r="D11" s="40">
        <f>IFERROR(AVERAGEIF('공약 달성도 트래커'!$B$3:$B$26,$B11,'공약 달성도 트래커'!$N$3:$N$26),0)</f>
        <v>0</v>
      </c>
      <c r="E11" s="39">
        <f>COUNTIFS('공약 달성도 트래커'!$B$3:$B$26,$B11,'공약 달성도 트래커'!$M$3:$M$26,"목표 달성")</f>
        <v>0</v>
      </c>
      <c r="F11" s="39">
        <f>COUNTIFS('공약 달성도 트래커'!$B$3:$B$26,$B11,'공약 달성도 트래커'!$M$3:$M$26,"추진 중")</f>
        <v>0</v>
      </c>
      <c r="G11" s="14" t="inlineStr">
        <is>
          <t>일자리가 최고의 복지! 전 세대 일자리 복지</t>
        </is>
      </c>
    </row>
    <row r="12">
      <c r="B12" s="46" t="inlineStr">
        <is>
          <t>민생</t>
        </is>
      </c>
      <c r="C12" s="39">
        <f>COUNTIF('공약 달성도 트래커'!$B$3:$B$26,$B12)</f>
        <v>2</v>
      </c>
      <c r="D12" s="40">
        <f>IFERROR(AVERAGEIF('공약 달성도 트래커'!$B$3:$B$26,$B12,'공약 달성도 트래커'!$N$3:$N$26),0)</f>
        <v>0</v>
      </c>
      <c r="E12" s="39">
        <f>COUNTIFS('공약 달성도 트래커'!$B$3:$B$26,$B12,'공약 달성도 트래커'!$M$3:$M$26,"목표 달성")</f>
        <v>0</v>
      </c>
      <c r="F12" s="39">
        <f>COUNTIFS('공약 달성도 트래커'!$B$3:$B$26,$B12,'공약 달성도 트래커'!$M$3:$M$26,"추진 중")</f>
        <v>0</v>
      </c>
      <c r="G12" s="14" t="inlineStr">
        <is>
          <t>상권에 활력을! 소상공인이 웃는 지역경제 1번지</t>
        </is>
      </c>
    </row>
    <row r="13">
      <c r="B13" s="47" t="inlineStr">
        <is>
          <t>일상</t>
        </is>
      </c>
      <c r="C13" s="39">
        <f>COUNTIF('공약 달성도 트래커'!$B$3:$B$26,$B13)</f>
        <v>4</v>
      </c>
      <c r="D13" s="40">
        <f>IFERROR(AVERAGEIF('공약 달성도 트래커'!$B$3:$B$26,$B13,'공약 달성도 트래커'!$N$3:$N$26),0)</f>
        <v>0</v>
      </c>
      <c r="E13" s="39">
        <f>COUNTIFS('공약 달성도 트래커'!$B$3:$B$26,$B13,'공약 달성도 트래커'!$M$3:$M$26,"목표 달성")</f>
        <v>0</v>
      </c>
      <c r="F13" s="39">
        <f>COUNTIFS('공약 달성도 트래커'!$B$3:$B$26,$B13,'공약 달성도 트래커'!$M$3:$M$26,"추진 중")</f>
        <v>0</v>
      </c>
      <c r="G13" s="14" t="inlineStr">
        <is>
          <t>구석구석 안전하게! 생활 속 불편 해결</t>
        </is>
      </c>
    </row>
    <row r="14">
      <c r="B14" s="48" t="inlineStr">
        <is>
          <t>전체 합계·평균</t>
        </is>
      </c>
      <c r="C14" s="49">
        <f>COUNTA('공약 달성도 트래커'!$B$3:$B$26)</f>
        <v>24</v>
      </c>
      <c r="D14" s="50">
        <f>IFERROR(AVERAGE('공약 달성도 트래커'!$N$3:$N$26),0)</f>
        <v>0</v>
      </c>
      <c r="E14" s="51">
        <f>COUNTIF('공약 달성도 트래커'!$M$3:$M$26,"목표 달성")</f>
        <v>0</v>
      </c>
      <c r="F14" s="51">
        <f>COUNTIF('공약 달성도 트래커'!$M$3:$M$26,"추진 중")</f>
        <v>0</v>
      </c>
      <c r="G14" s="52" t="inlineStr">
        <is>
          <t>8대 분야 종합</t>
        </is>
      </c>
    </row>
    <row r="17">
      <c r="B17" s="53" t="inlineStr">
        <is>
          <t>■ 진행단계 현황 (전체)</t>
        </is>
      </c>
    </row>
    <row r="18">
      <c r="B18" s="54" t="inlineStr">
        <is>
          <t>착수 전</t>
        </is>
      </c>
      <c r="C18" s="39">
        <f>COUNTIF('공약 달성도 트래커'!$M$3:$M$26,"착수 전")</f>
        <v>24</v>
      </c>
    </row>
    <row r="19">
      <c r="B19" s="54" t="inlineStr">
        <is>
          <t>추진 중</t>
        </is>
      </c>
      <c r="C19" s="39">
        <f>COUNTIF('공약 달성도 트래커'!$M$3:$M$26,"추진 중")</f>
        <v>0</v>
      </c>
    </row>
    <row r="20">
      <c r="B20" s="54" t="inlineStr">
        <is>
          <t>일부 달성</t>
        </is>
      </c>
      <c r="C20" s="39">
        <f>COUNTIF('공약 달성도 트래커'!$M$3:$M$26,"일부 달성")</f>
        <v>0</v>
      </c>
    </row>
    <row r="21">
      <c r="B21" s="54" t="inlineStr">
        <is>
          <t>목표 달성</t>
        </is>
      </c>
      <c r="C21" s="39">
        <f>COUNTIF('공약 달성도 트래커'!$M$3:$M$26,"목표 달성")</f>
        <v>0</v>
      </c>
    </row>
    <row r="22">
      <c r="B22" s="54" t="inlineStr">
        <is>
          <t>보류·무산</t>
        </is>
      </c>
      <c r="C22" s="39">
        <f>COUNTIF('공약 달성도 트래커'!$M$3:$M$26,"보류·무산")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30" customWidth="1" min="3" max="3"/>
    <col width="58" customWidth="1" min="4" max="4"/>
  </cols>
  <sheetData>
    <row r="2">
      <c r="B2" s="36" t="inlineStr">
        <is>
          <t>주택공간위원회 부위원장 공약 추진 전략</t>
        </is>
      </c>
    </row>
    <row r="3">
      <c r="B3" s="37" t="inlineStr">
        <is>
          <t>소관(주택정책실·도시공간/균형발전본부·SH공사)을 지렛대로 '직접 주력'할 공약과 타 상임위 '협력' 공약을 구분</t>
        </is>
      </c>
    </row>
    <row r="5">
      <c r="B5" s="9" t="inlineStr">
        <is>
          <t>소관구분</t>
        </is>
      </c>
      <c r="C5" s="9" t="inlineStr">
        <is>
          <t>공약 수</t>
        </is>
      </c>
      <c r="D5" s="9" t="inlineStr">
        <is>
          <t>부위원장 핵심 지렛대</t>
        </is>
      </c>
    </row>
    <row r="6" ht="54" customHeight="1">
      <c r="B6" s="55" t="inlineStr">
        <is>
          <t>🟩 소관·핵심 (직접 주력)</t>
        </is>
      </c>
      <c r="C6" s="56">
        <f>COUNTIF('공약 달성도 트래커'!$H$3:$H$26,"소관·핵심")</f>
        <v>4</v>
      </c>
      <c r="D6" s="14" t="inlineStr">
        <is>
          <t>소관 예산심사 증액 · 주택정책실/SH공사 행정사무감사 · 정비·세입자 조례 발의 · 부위원장 권한 안건 우선 상정</t>
        </is>
      </c>
    </row>
    <row r="7" ht="54" customHeight="1">
      <c r="B7" s="57" t="inlineStr">
        <is>
          <t>🟧 부분소관 (개발계획 연계)</t>
        </is>
      </c>
      <c r="C7" s="58">
        <f>COUNTIF('공약 달성도 트래커'!$H$3:$H$26,"부분소관")</f>
        <v>2</v>
      </c>
      <c r="D7" s="14" t="inlineStr">
        <is>
          <t>도시공간·역세권/생활SOC 개발계획 심사에 공약 반영, 도시공간본부 대상 질의</t>
        </is>
      </c>
    </row>
    <row r="8" ht="54" customHeight="1">
      <c r="B8" s="59" t="inlineStr">
        <is>
          <t>⬜ 협력 (타 상임위 소관)</t>
        </is>
      </c>
      <c r="C8" s="60">
        <f>COUNTIF('공약 달성도 트래커'!$H$3:$H$26,"협력")</f>
        <v>18</v>
      </c>
      <c r="D8" s="14" t="inlineStr">
        <is>
          <t>예산결산특위 종합심사 반영 요구 · 해당 상임위 위원과 공동발의·질의 · 원팀 협치</t>
        </is>
      </c>
    </row>
    <row r="10">
      <c r="B10" s="3" t="inlineStr">
        <is>
          <t>■ 직접 주력 공약 (소관·핵심 + 부분소관)</t>
        </is>
      </c>
    </row>
    <row r="11">
      <c r="B11" s="61" t="inlineStr">
        <is>
          <t>공약</t>
        </is>
      </c>
      <c r="C11" s="61" t="inlineStr">
        <is>
          <t>분야</t>
        </is>
      </c>
      <c r="D11" s="61" t="inlineStr">
        <is>
          <t>부위원장 중점활동</t>
        </is>
      </c>
    </row>
    <row r="12" ht="46" customHeight="1">
      <c r="B12" s="62" t="inlineStr">
        <is>
          <t>광운대역 민자역사 리모델링 추진 (제2의 용산역화)</t>
        </is>
      </c>
      <c r="C12" s="52" t="inlineStr">
        <is>
          <t>경제</t>
        </is>
      </c>
      <c r="D12" s="14" t="inlineStr">
        <is>
          <t>도시공간·역세권 개발계획 심사 시 리모델링 반영, 도시공간본부 대상 시정질문·자료요구</t>
        </is>
      </c>
    </row>
    <row r="13" ht="46" customHeight="1">
      <c r="B13" s="62" t="inlineStr">
        <is>
          <t>아동·청소년 문화·예술·체육 복합시설 확대</t>
        </is>
      </c>
      <c r="C13" s="52" t="inlineStr">
        <is>
          <t>교육</t>
        </is>
      </c>
      <c r="D13" s="14" t="inlineStr">
        <is>
          <t>생활SOC 건립을 균형발전·도시공간 사업과 연계</t>
        </is>
      </c>
    </row>
    <row r="14" ht="46" customHeight="1">
      <c r="B14" s="63" t="inlineStr">
        <is>
          <t>미미삼·삼호4차·동신·중흥·534번지 등 정비사업 신속 지원</t>
        </is>
      </c>
      <c r="C14" s="52" t="inlineStr">
        <is>
          <t>주거</t>
        </is>
      </c>
      <c r="D14" s="14" t="inlineStr">
        <is>
          <t>소관 상임위 정비사업 안건 직접 심사, 주택정책실·SH 대상 행정사무감사, 부위원장 권한 안건 우선 상정, 정비 지원 조례 발의</t>
        </is>
      </c>
    </row>
    <row r="15" ht="46" customHeight="1">
      <c r="B15" s="63" t="inlineStr">
        <is>
          <t>정비사업 퇴거 세입자 전세자금 대출 지원 확대(소득기준 완화)</t>
        </is>
      </c>
      <c r="C15" s="52" t="inlineStr">
        <is>
          <t>주거</t>
        </is>
      </c>
      <c r="D15" s="14" t="inlineStr">
        <is>
          <t>주택정책실 대상 예산 증액·세입자 지원 조례 개정을 소관 위원으로 직접 추진</t>
        </is>
      </c>
    </row>
    <row r="16" ht="46" customHeight="1">
      <c r="B16" s="63" t="inlineStr">
        <is>
          <t>노원구 관내 이전 유도 정책 도입</t>
        </is>
      </c>
      <c r="C16" s="52" t="inlineStr">
        <is>
          <t>주거</t>
        </is>
      </c>
      <c r="D16" s="14" t="inlineStr">
        <is>
          <t>주거재생 정책으로 이주 지원 조례·예산을 소관 위원으로 직접 설계</t>
        </is>
      </c>
    </row>
    <row r="17" ht="46" customHeight="1">
      <c r="B17" s="63" t="inlineStr">
        <is>
          <t>SH·LH 공공아파트 주거·생활 민원 신속 처리</t>
        </is>
      </c>
      <c r="C17" s="52" t="inlineStr">
        <is>
          <t>복지</t>
        </is>
      </c>
      <c r="D17" s="14" t="inlineStr">
        <is>
          <t>SH공사 소관 → 행정사무감사에서 민원처리 실태 점검·개선 요구, 관련 예산 반영 (직접 지렛대)</t>
        </is>
      </c>
    </row>
    <row r="19">
      <c r="B19" s="3" t="inlineStr">
        <is>
          <t>■ 협력 공약 (타 상임위 소관 — 예결 종합심사·공동발의로 견인)</t>
        </is>
      </c>
    </row>
    <row r="20">
      <c r="B20" s="64" t="inlineStr">
        <is>
          <t>공약</t>
        </is>
      </c>
      <c r="C20" s="64" t="inlineStr">
        <is>
          <t>분야</t>
        </is>
      </c>
      <c r="D20" s="64" t="inlineStr">
        <is>
          <t>협력 방식</t>
        </is>
      </c>
    </row>
    <row r="21" ht="40" customHeight="1">
      <c r="B21" s="14" t="inlineStr">
        <is>
          <t>광운대역세권 창업지원공간 대대적 조성</t>
        </is>
      </c>
      <c r="C21" s="52" t="inlineStr">
        <is>
          <t>경제</t>
        </is>
      </c>
      <c r="D21" s="14" t="inlineStr">
        <is>
          <t>경제 소관과 연계, 역세권 개발계획에 창업공간 확보 조건 반영 요구</t>
        </is>
      </c>
    </row>
    <row r="22" ht="40" customHeight="1">
      <c r="B22" s="14" t="inlineStr">
        <is>
          <t>정부 벤처기업육성촉진지구 지정 추진</t>
        </is>
      </c>
      <c r="C22" s="52" t="inlineStr">
        <is>
          <t>경제</t>
        </is>
      </c>
      <c r="D22" s="14" t="inlineStr">
        <is>
          <t>경제·중기 소관 위원과 공동대응, 지구 내 도시계획 지원</t>
        </is>
      </c>
    </row>
    <row r="23" ht="40" customHeight="1">
      <c r="B23" s="14" t="inlineStr">
        <is>
          <t>관내 대학(광운대·인덕대) 연계 AI·과학기술 인재 육성</t>
        </is>
      </c>
      <c r="C23" s="52" t="inlineStr">
        <is>
          <t>경제</t>
        </is>
      </c>
      <c r="D23" s="14" t="inlineStr">
        <is>
          <t>교육·경제 소관과 연계 (직접 소관 아님)</t>
        </is>
      </c>
    </row>
    <row r="24" ht="40" customHeight="1">
      <c r="B24" s="14" t="inlineStr">
        <is>
          <t>월계동 3대 교통혁신: GTX-C 착공·SRT 광운대역 정차·동북선 완공</t>
        </is>
      </c>
      <c r="C24" s="52" t="inlineStr">
        <is>
          <t>교통</t>
        </is>
      </c>
      <c r="D24" s="14" t="inlineStr">
        <is>
          <t>교통위원회 위원과 공동대응, 예결 종합심사서 광역철도 분담금 지원</t>
        </is>
      </c>
    </row>
    <row r="25" ht="40" customHeight="1">
      <c r="B25" s="14" t="inlineStr">
        <is>
          <t>지하철 접근성 강화(다람쥐버스·노원15번 창동역행·녹천역 에스컬레이터)</t>
        </is>
      </c>
      <c r="C25" s="52" t="inlineStr">
        <is>
          <t>교통</t>
        </is>
      </c>
      <c r="D25" s="14" t="inlineStr">
        <is>
          <t>교통위 소관, 예결 종합심사서 반영 요구</t>
        </is>
      </c>
    </row>
    <row r="26" ht="40" customHeight="1">
      <c r="B26" s="14" t="inlineStr">
        <is>
          <t>고유가 위기 출근길 지원(대중교통 할인·유연근무제 확대)</t>
        </is>
      </c>
      <c r="C26" s="52" t="inlineStr">
        <is>
          <t>교통</t>
        </is>
      </c>
      <c r="D26" s="14" t="inlineStr">
        <is>
          <t>교통·기획경제 소관 연계</t>
        </is>
      </c>
    </row>
    <row r="27" ht="40" customHeight="1">
      <c r="B27" s="14" t="inlineStr">
        <is>
          <t>특성화 교육 산실 &lt;월계장학관&gt; 조성</t>
        </is>
      </c>
      <c r="C27" s="52" t="inlineStr">
        <is>
          <t>교육</t>
        </is>
      </c>
      <c r="D27" s="14" t="inlineStr">
        <is>
          <t>교육위 소관 / 부지·건축은 도시공간 소관으로 협의 가능</t>
        </is>
      </c>
    </row>
    <row r="28" ht="40" customHeight="1">
      <c r="B28" s="14" t="inlineStr">
        <is>
          <t>월계동 맞춤형 공공 등교버스 추진</t>
        </is>
      </c>
      <c r="C28" s="52" t="inlineStr">
        <is>
          <t>교육</t>
        </is>
      </c>
      <c r="D28" s="14" t="inlineStr">
        <is>
          <t>교통·교육 소관 연계</t>
        </is>
      </c>
    </row>
    <row r="29" ht="40" customHeight="1">
      <c r="B29" s="14" t="inlineStr">
        <is>
          <t>동북권 최초 국·공립 산후조리원 유치 + 출산 바우처 확대</t>
        </is>
      </c>
      <c r="C29" s="52" t="inlineStr">
        <is>
          <t>청년·가족</t>
        </is>
      </c>
      <c r="D29" s="14" t="inlineStr">
        <is>
          <t>보건복지위 소관 / 신혼부부 공공주택 연계는 소관 활용</t>
        </is>
      </c>
    </row>
    <row r="30" ht="40" customHeight="1">
      <c r="B30" s="14" t="inlineStr">
        <is>
          <t>서울형 '임산부 기본소득(지역화폐)' 추진</t>
        </is>
      </c>
      <c r="C30" s="52" t="inlineStr">
        <is>
          <t>청년·가족</t>
        </is>
      </c>
      <c r="D30" s="14" t="inlineStr">
        <is>
          <t>복지·기획 소관 연계</t>
        </is>
      </c>
    </row>
    <row r="31" ht="40" customHeight="1">
      <c r="B31" s="14" t="inlineStr">
        <is>
          <t>전 세대 맞춤형 공공 일자리 대폭 확대</t>
        </is>
      </c>
      <c r="C31" s="52" t="inlineStr">
        <is>
          <t>복지</t>
        </is>
      </c>
      <c r="D31" s="14" t="inlineStr">
        <is>
          <t>기획경제·복지 소관 연계</t>
        </is>
      </c>
    </row>
    <row r="32" ht="40" customHeight="1">
      <c r="B32" s="14" t="inlineStr">
        <is>
          <t>대중교통 무장애 환경 조성(석계역 1번출구 엘리베이터 등)</t>
        </is>
      </c>
      <c r="C32" s="52" t="inlineStr">
        <is>
          <t>복지</t>
        </is>
      </c>
      <c r="D32" s="14" t="inlineStr">
        <is>
          <t>교통위 소관 연계</t>
        </is>
      </c>
    </row>
    <row r="33" ht="40" customHeight="1">
      <c r="B33" s="14" t="inlineStr">
        <is>
          <t>노원형 지역화폐 환급제도 도입(여가·문화시설 사용료 일부 환급)</t>
        </is>
      </c>
      <c r="C33" s="52" t="inlineStr">
        <is>
          <t>민생</t>
        </is>
      </c>
      <c r="D33" s="14" t="inlineStr">
        <is>
          <t>기획경제 소관 연계</t>
        </is>
      </c>
    </row>
    <row r="34" ht="40" customHeight="1">
      <c r="B34" s="14" t="inlineStr">
        <is>
          <t>월계동 골목형 상점가 확대(온누리상품권 사용처·특화축제)</t>
        </is>
      </c>
      <c r="C34" s="52" t="inlineStr">
        <is>
          <t>민생</t>
        </is>
      </c>
      <c r="D34" s="14" t="inlineStr">
        <is>
          <t>기획경제 소관 연계</t>
        </is>
      </c>
    </row>
    <row r="35" ht="40" customHeight="1">
      <c r="B35" s="14" t="inlineStr">
        <is>
          <t>겨울철 낙상 제로! 언덕길 열선 확대(영축산 등)</t>
        </is>
      </c>
      <c r="C35" s="52" t="inlineStr">
        <is>
          <t>일상</t>
        </is>
      </c>
      <c r="D35" s="14" t="inlineStr">
        <is>
          <t>도시안전건설위 소관 / 도시공간 정비와 연계</t>
        </is>
      </c>
    </row>
    <row r="36" ht="40" customHeight="1">
      <c r="B36" s="14" t="inlineStr">
        <is>
          <t>안심하고 걷는 거리, 싱크홀 예방(도로·보행 안전 예산 확대)</t>
        </is>
      </c>
      <c r="C36" s="52" t="inlineStr">
        <is>
          <t>일상</t>
        </is>
      </c>
      <c r="D36" s="14" t="inlineStr">
        <is>
          <t>도시안전건설위 소관 연계</t>
        </is>
      </c>
    </row>
    <row r="37" ht="40" customHeight="1">
      <c r="B37" s="14" t="inlineStr">
        <is>
          <t>대중교통 대기 쾌적화(석계역 1호선 냉난방 쉼터·버스정류장 따숨쉼터)</t>
        </is>
      </c>
      <c r="C37" s="52" t="inlineStr">
        <is>
          <t>일상</t>
        </is>
      </c>
      <c r="D37" s="14" t="inlineStr">
        <is>
          <t>교통위 소관 연계</t>
        </is>
      </c>
    </row>
    <row r="38" ht="40" customHeight="1">
      <c r="B38" s="14" t="inlineStr">
        <is>
          <t>주민 배려형 디테일 행정(이마트 진입로 교통체증 해소 연구용역)</t>
        </is>
      </c>
      <c r="C38" s="52" t="inlineStr">
        <is>
          <t>일상</t>
        </is>
      </c>
      <c r="D38" s="14" t="inlineStr">
        <is>
          <t>교통위 소관 연계</t>
        </is>
      </c>
    </row>
    <row r="40">
      <c r="B40" s="65" t="inlineStr">
        <is>
          <t>※ 소관 실·본부 구성은 해당 회기 서울시의회 주택공간위원회 기준으로 확인하여 갱신하세요.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34" customWidth="1" min="3" max="3"/>
    <col width="50" customWidth="1" min="4" max="4"/>
  </cols>
  <sheetData>
    <row r="2">
      <c r="B2" s="66" t="inlineStr">
        <is>
          <t>정책지원관 업무 가이드 (신규 부임자용)</t>
        </is>
      </c>
    </row>
    <row r="3">
      <c r="B3" s="37" t="inlineStr">
        <is>
          <t>주택공간위원회 · 박이강 부위원장 지원 · 2026년 9월 부임 · 업무파악 단계</t>
        </is>
      </c>
    </row>
    <row r="5">
      <c r="B5" s="7" t="inlineStr">
        <is>
          <t>■ 정책지원관 역할과 범위 (지방자치법 근거)</t>
        </is>
      </c>
    </row>
    <row r="6">
      <c r="B6" s="6" t="inlineStr">
        <is>
          <t>지원 대상 활동</t>
        </is>
      </c>
      <c r="C6" s="5" t="inlineStr">
        <is>
          <t>조례 제·개정·폐지, 예산 심의·확정, 행정사무감사, 서류제출요구, 인사청문 등 의결사항 과정</t>
        </is>
      </c>
    </row>
    <row r="7">
      <c r="B7" s="6" t="inlineStr">
        <is>
          <t>핵심 직무</t>
        </is>
      </c>
      <c r="C7" s="5" t="inlineStr">
        <is>
          <t>위 의정활동에 대한 '자료 수집·조사·연구' 지원 (검토보고·분석자료 작성)</t>
        </is>
      </c>
    </row>
    <row r="8">
      <c r="B8" s="6" t="inlineStr">
        <is>
          <t>범위 밖</t>
        </is>
      </c>
      <c r="C8" s="5" t="inlineStr">
        <is>
          <t>선거·정치활동, 의원 개인사무, 지역구 민원의 직접 처리(행정대행)는 지원 범위 밖</t>
        </is>
      </c>
    </row>
    <row r="10">
      <c r="B10" s="7" t="inlineStr">
        <is>
          <t>■ 핵심 지원업무 5종</t>
        </is>
      </c>
    </row>
    <row r="11">
      <c r="B11" s="67" t="inlineStr">
        <is>
          <t>유형</t>
        </is>
      </c>
      <c r="C11" s="67" t="inlineStr">
        <is>
          <t>내용</t>
        </is>
      </c>
      <c r="D11" s="67" t="inlineStr">
        <is>
          <t>주요 산출물</t>
        </is>
      </c>
    </row>
    <row r="12" ht="30" customHeight="1">
      <c r="B12" s="68" t="inlineStr">
        <is>
          <t>① 자료조사·연구</t>
        </is>
      </c>
      <c r="C12" s="14" t="inlineStr">
        <is>
          <t>통계·타 시도 사례·현황 수집 및 분석</t>
        </is>
      </c>
      <c r="D12" s="14" t="inlineStr">
        <is>
          <t>검토보고서·현황자료</t>
        </is>
      </c>
    </row>
    <row r="13" ht="30" customHeight="1">
      <c r="B13" s="68" t="inlineStr">
        <is>
          <t>② 예산안 분석</t>
        </is>
      </c>
      <c r="C13" s="14" t="inlineStr">
        <is>
          <t>소관 사업 예산서 분석, 증액 논리 정리</t>
        </is>
      </c>
      <c r="D13" s="14" t="inlineStr">
        <is>
          <t>예산분석 자료</t>
        </is>
      </c>
    </row>
    <row r="14" ht="30" customHeight="1">
      <c r="B14" s="68" t="inlineStr">
        <is>
          <t>③ 조례안 검토</t>
        </is>
      </c>
      <c r="C14" s="14" t="inlineStr">
        <is>
          <t>입법례 조사, 조례안·개정안 검토</t>
        </is>
      </c>
      <c r="D14" s="14" t="inlineStr">
        <is>
          <t>검토의견서·조례안 초안</t>
        </is>
      </c>
    </row>
    <row r="15" ht="30" customHeight="1">
      <c r="B15" s="68" t="inlineStr">
        <is>
          <t>④ 질의 준비</t>
        </is>
      </c>
      <c r="C15" s="14" t="inlineStr">
        <is>
          <t>시정질문·행정사무감사 질의서·요구자료 작성</t>
        </is>
      </c>
      <c r="D15" s="14" t="inlineStr">
        <is>
          <t>질의서·자료요구 목록</t>
        </is>
      </c>
    </row>
    <row r="16" ht="30" customHeight="1">
      <c r="B16" s="68" t="inlineStr">
        <is>
          <t>⑤ 민원·현장 정리</t>
        </is>
      </c>
      <c r="C16" s="14" t="inlineStr">
        <is>
          <t>지역 민원·현장 수요 취합·분류</t>
        </is>
      </c>
      <c r="D16" s="14" t="inlineStr">
        <is>
          <t>민원 정리표</t>
        </is>
      </c>
    </row>
    <row r="18">
      <c r="B18" s="7" t="inlineStr">
        <is>
          <t>■ 부임 초기 업무파악 체크리스트</t>
        </is>
      </c>
    </row>
    <row r="19">
      <c r="B19" s="69" t="inlineStr">
        <is>
          <t>1주차 (조직·현안 파악)</t>
        </is>
      </c>
    </row>
    <row r="20" ht="26" customHeight="1">
      <c r="B20" s="70" t="inlineStr">
        <is>
          <t>☐</t>
        </is>
      </c>
      <c r="C20" s="71" t="inlineStr">
        <is>
          <t>주택공간위 소관 실·본부·산하기관 조직도 파악 (주택정책실, 도시공간본부/균형발전본부, SH공사 등)</t>
        </is>
      </c>
    </row>
    <row r="21" ht="26" customHeight="1">
      <c r="B21" s="70" t="inlineStr">
        <is>
          <t>☐</t>
        </is>
      </c>
      <c r="C21" s="71" t="inlineStr">
        <is>
          <t>박이강 부위원장 공약·관심사 숙지 — 본 트래커 '공약 달성도 트래커' 시트 활용</t>
        </is>
      </c>
    </row>
    <row r="22" ht="26" customHeight="1">
      <c r="B22" s="70" t="inlineStr">
        <is>
          <t>☐</t>
        </is>
      </c>
      <c r="C22" s="71" t="inlineStr">
        <is>
          <t>상임위 연간 일정 파악 (임시회·정례회·행정사무감사 시기)</t>
        </is>
      </c>
    </row>
    <row r="24">
      <c r="B24" s="69" t="inlineStr">
        <is>
          <t>1개월 (사업·예산 파악)</t>
        </is>
      </c>
    </row>
    <row r="25" ht="26" customHeight="1">
      <c r="B25" s="70" t="inlineStr">
        <is>
          <t>☐</t>
        </is>
      </c>
      <c r="C25" s="71" t="inlineStr">
        <is>
          <t>소관 사업별 예산 규모·주요 현안 파악</t>
        </is>
      </c>
    </row>
    <row r="26" ht="26" customHeight="1">
      <c r="B26" s="70" t="inlineStr">
        <is>
          <t>☐</t>
        </is>
      </c>
      <c r="C26" s="71" t="inlineStr">
        <is>
          <t>소관 주요 조례 목록화 및 최근 개정 이력 확인</t>
        </is>
      </c>
    </row>
    <row r="27" ht="26" customHeight="1">
      <c r="B27" s="70" t="inlineStr">
        <is>
          <t>☐</t>
        </is>
      </c>
      <c r="C27" s="71" t="inlineStr">
        <is>
          <t>소관·핵심 4개 공약(정비사업·세입자·관내이전·SH민원) 관련 자료 우선 수집</t>
        </is>
      </c>
    </row>
    <row r="29">
      <c r="B29" s="69" t="inlineStr">
        <is>
          <t>분기 (루틴화)</t>
        </is>
      </c>
    </row>
    <row r="30" ht="26" customHeight="1">
      <c r="B30" s="70" t="inlineStr">
        <is>
          <t>☐</t>
        </is>
      </c>
      <c r="C30" s="71" t="inlineStr">
        <is>
          <t>행정사무감사(연중 최대 이벤트) 요구자료·질의서 준비 절차 숙지</t>
        </is>
      </c>
    </row>
    <row r="31" ht="26" customHeight="1">
      <c r="B31" s="70" t="inlineStr">
        <is>
          <t>☐</t>
        </is>
      </c>
      <c r="C31" s="71" t="inlineStr">
        <is>
          <t>시정질문 주제 발굴 및 근거자료 축적</t>
        </is>
      </c>
    </row>
    <row r="32" ht="26" customHeight="1">
      <c r="B32" s="70" t="inlineStr">
        <is>
          <t>☐</t>
        </is>
      </c>
      <c r="C32" s="71" t="inlineStr">
        <is>
          <t>공약별 진행상황(진행단계·달성률) 트래커 정기 갱신 루틴 확립</t>
        </is>
      </c>
    </row>
    <row r="34">
      <c r="B34" s="7" t="inlineStr">
        <is>
          <t>■ 공약별 지원업무 우선순위</t>
        </is>
      </c>
    </row>
    <row r="35">
      <c r="B35" s="67" t="inlineStr">
        <is>
          <t>소관구분</t>
        </is>
      </c>
      <c r="C35" s="67" t="inlineStr">
        <is>
          <t>공약 수</t>
        </is>
      </c>
      <c r="D35" s="67" t="inlineStr">
        <is>
          <t>정책지원관 지원 초점</t>
        </is>
      </c>
    </row>
    <row r="36" ht="34" customHeight="1">
      <c r="B36" s="55" t="inlineStr">
        <is>
          <t>🟩 소관·핵심 (최우선)</t>
        </is>
      </c>
      <c r="C36" s="56">
        <f>COUNTIF('공약 달성도 트래커'!$H$3:$H$26,"소관·핵심")</f>
        <v>4</v>
      </c>
      <c r="D36" s="14" t="inlineStr">
        <is>
          <t>정비구역 DB·예산분석·조례 검토·행정사무감사 질의서 등 심층 지원</t>
        </is>
      </c>
    </row>
    <row r="37" ht="34" customHeight="1">
      <c r="B37" s="57" t="inlineStr">
        <is>
          <t>🟧 부분소관</t>
        </is>
      </c>
      <c r="C37" s="58">
        <f>COUNTIF('공약 달성도 트래커'!$H$3:$H$26,"부분소관")</f>
        <v>2</v>
      </c>
      <c r="D37" s="14" t="inlineStr">
        <is>
          <t>개발계획·생활SOC 현황·수요 조사 지원</t>
        </is>
      </c>
    </row>
    <row r="38" ht="34" customHeight="1">
      <c r="B38" s="59" t="inlineStr">
        <is>
          <t>⬜ 협력</t>
        </is>
      </c>
      <c r="C38" s="60">
        <f>COUNTIF('공약 달성도 트래커'!$H$3:$H$26,"협력")</f>
        <v>18</v>
      </c>
      <c r="D38" s="14" t="inlineStr">
        <is>
          <t>타 상임위 자료 연계·사례조사, 예결 종합심사 논리 정리</t>
        </is>
      </c>
    </row>
    <row r="40">
      <c r="B40" s="65" t="inlineStr">
        <is>
          <t>※ 공약별 상세 지원 과업은 '공약 달성도 트래커' 시트의 '정책지원관 지원업무'(하늘색) 열을 참고하세요.</t>
        </is>
      </c>
    </row>
    <row r="41">
      <c r="B41" s="65" t="inlineStr">
        <is>
          <t>※ 정책지원관 직무 범위는 서울시의회 관련 조례·운영지침 기준으로 확인하세요.</t>
        </is>
      </c>
    </row>
  </sheetData>
  <mergeCells count="12">
    <mergeCell ref="C20:D20"/>
    <mergeCell ref="C6:D6"/>
    <mergeCell ref="C21:D21"/>
    <mergeCell ref="C7:D7"/>
    <mergeCell ref="C30:D30"/>
    <mergeCell ref="C32:D32"/>
    <mergeCell ref="C25:D25"/>
    <mergeCell ref="C27:D27"/>
    <mergeCell ref="C22:D22"/>
    <mergeCell ref="C31:D31"/>
    <mergeCell ref="C26:D26"/>
    <mergeCell ref="C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2026-09-22T07:48:01Z</dcterms:created>
  <dcterms:modified xsi:type="dcterms:W3CDTF">2026-09-22T07:48:01Z</dcterms:modified>
</cp:coreProperties>
</file>