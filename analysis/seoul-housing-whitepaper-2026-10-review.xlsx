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요약" sheetId="1" state="visible" r:id="rId3"/>
    <sheet name="1_팩트체크(박원순정책)" sheetId="2" state="visible" r:id="rId4"/>
    <sheet name="2_논리·통계 문제점" sheetId="3" state="visible" r:id="rId5"/>
    <sheet name="3_오세훈 현 정책 문제점" sheetId="4" state="visible" r:id="rId6"/>
    <sheet name="4_가리려는 것(의도분석)" sheetId="5" state="visible" r:id="rId7"/>
    <sheet name="5_수치검증" sheetId="6" state="visible" r:id="rId8"/>
    <sheet name="6_후속 자료요구·질의" sheetId="7" state="visible" r:id="rId9"/>
    <sheet name="7_출처" sheetId="8" state="visible" r:id="rId10"/>
  </sheets>
  <definedNames>
    <definedName function="false" hidden="true" localSheetId="1" name="_xlnm._FilterDatabase" vbProcedure="false">'1_팩트체크(박원순정책)'!$A$1:$G$22</definedName>
    <definedName function="false" hidden="true" localSheetId="2" name="_xlnm._FilterDatabase" vbProcedure="false">'2_논리·통계 문제점'!$A$1:$F$15</definedName>
    <definedName function="false" hidden="true" localSheetId="3" name="_xlnm._FilterDatabase" vbProcedure="false">'3_오세훈 현 정책 문제점'!$A$1:$G$15</definedName>
    <definedName function="false" hidden="true" localSheetId="4" name="_xlnm._FilterDatabase" vbProcedure="false">'4_가리려는 것(의도분석)'!$A$1:$F$10</definedName>
    <definedName function="false" hidden="true" localSheetId="6" name="_xlnm._FilterDatabase" vbProcedure="false">'6_후속 자료요구·질의'!$A$1:$E$13</definedName>
    <definedName function="false" hidden="true" localSheetId="7" name="_xlnm._FilterDatabase" vbProcedure="false">7_출처!$A$1:$D$20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<sst xmlns="http://schemas.openxmlformats.org/spreadsheetml/2006/main" count="594" uniqueCount="493">
  <si>
    <t xml:space="preserve">분석 대상</t>
  </si>
  <si>
    <r>
      <rPr>
        <sz val="10"/>
        <rFont val="WenQuanYi Zen Hei"/>
        <family val="2"/>
      </rPr>
      <t xml:space="preserve">서울시 주택실 보도자료</t>
    </r>
    <r>
      <rPr>
        <sz val="10"/>
        <rFont val="Arial"/>
        <family val="0"/>
        <charset val="1"/>
      </rPr>
      <t xml:space="preserve">(2026.10.16 </t>
    </r>
    <r>
      <rPr>
        <sz val="10"/>
        <rFont val="WenQuanYi Zen Hei"/>
        <family val="2"/>
      </rPr>
      <t xml:space="preserve">석간</t>
    </r>
    <r>
      <rPr>
        <sz val="10"/>
        <rFont val="Arial"/>
        <family val="0"/>
        <charset val="1"/>
      </rPr>
      <t xml:space="preserve">, 6</t>
    </r>
    <r>
      <rPr>
        <sz val="10"/>
        <rFont val="WenQuanYi Zen Hei"/>
        <family val="2"/>
      </rPr>
      <t xml:space="preserve">쪽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「정비사업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도시재생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조이상 투입 결과…」 및 백서 「서울 주택 공급정책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년의 평가와 성찰」</t>
    </r>
    <r>
      <rPr>
        <sz val="10"/>
        <rFont val="Arial"/>
        <family val="0"/>
        <charset val="1"/>
      </rPr>
      <t xml:space="preserve">(61</t>
    </r>
    <r>
      <rPr>
        <sz val="10"/>
        <rFont val="WenQuanYi Zen Hei"/>
        <family val="2"/>
      </rPr>
      <t xml:space="preserve">쪽</t>
    </r>
    <r>
      <rPr>
        <sz val="10"/>
        <rFont val="Arial"/>
        <family val="0"/>
        <charset val="1"/>
      </rPr>
      <t xml:space="preserve">, PDF)</t>
    </r>
  </si>
  <si>
    <t xml:space="preserve">배포 시점</t>
  </si>
  <si>
    <r>
      <rPr>
        <sz val="10"/>
        <rFont val="Arial"/>
        <family val="0"/>
        <charset val="1"/>
      </rPr>
      <t xml:space="preserve">2026.10.15(</t>
    </r>
    <r>
      <rPr>
        <sz val="10"/>
        <rFont val="WenQuanYi Zen Hei"/>
        <family val="2"/>
      </rPr>
      <t xml:space="preserve">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국회 행안위 서울시 국정감사 바로 다음날 석간 배포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국감에서 민주당은 서울 집값 상승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공급 부족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한강버스 리베이트 의혹</t>
    </r>
    <r>
      <rPr>
        <sz val="10"/>
        <rFont val="Arial"/>
        <family val="0"/>
        <charset val="1"/>
      </rPr>
      <t xml:space="preserve">·GTX-A </t>
    </r>
    <r>
      <rPr>
        <sz val="10"/>
        <rFont val="WenQuanYi Zen Hei"/>
        <family val="2"/>
      </rPr>
      <t xml:space="preserve">철근 누락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세운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 등을 집중 추궁했고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오 시장은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올해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천호 착공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공급 불확실성이 집값 핵심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이라고 답변함</t>
    </r>
  </si>
  <si>
    <t xml:space="preserve">핵심 판단 ①</t>
  </si>
  <si>
    <r>
      <rPr>
        <sz val="10"/>
        <rFont val="WenQuanYi Zen Hei"/>
        <family val="2"/>
      </rPr>
      <t xml:space="preserve">보도자료의 개별 사례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사직</t>
    </r>
    <r>
      <rPr>
        <sz val="10"/>
        <rFont val="Arial"/>
        <family val="0"/>
        <charset val="1"/>
      </rPr>
      <t xml:space="preserve">2·</t>
    </r>
    <r>
      <rPr>
        <sz val="10"/>
        <rFont val="WenQuanYi Zen Hei"/>
        <family val="2"/>
      </rPr>
      <t xml:space="preserve">장위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대법원 판결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주거정비지수제</t>
    </r>
    <r>
      <rPr>
        <sz val="10"/>
        <rFont val="Arial"/>
        <family val="0"/>
        <charset val="1"/>
      </rPr>
      <t xml:space="preserve">, 35</t>
    </r>
    <r>
      <rPr>
        <sz val="10"/>
        <rFont val="WenQuanYi Zen Hei"/>
        <family val="2"/>
      </rPr>
      <t xml:space="preserve">층 규제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대체로 사실이나</t>
    </r>
    <r>
      <rPr>
        <sz val="10"/>
        <rFont val="Arial"/>
        <family val="0"/>
        <charset val="1"/>
      </rPr>
      <t xml:space="preserve">, '43</t>
    </r>
    <r>
      <rPr>
        <sz val="10"/>
        <rFont val="WenQuanYi Zen Hei"/>
        <family val="2"/>
      </rPr>
      <t xml:space="preserve">만호 상실</t>
    </r>
    <r>
      <rPr>
        <sz val="10"/>
        <rFont val="Arial"/>
        <family val="0"/>
        <charset val="1"/>
      </rPr>
      <t xml:space="preserve">', '1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혈세 낭비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공급기반 붕괴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라는 결론은 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계획물량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총량을 실공급처럼 표현</t>
    </r>
    <r>
      <rPr>
        <sz val="10"/>
        <rFont val="Arial"/>
        <family val="0"/>
        <charset val="1"/>
      </rPr>
      <t xml:space="preserve">, (b) 2008 </t>
    </r>
    <r>
      <rPr>
        <sz val="10"/>
        <rFont val="WenQuanYi Zen Hei"/>
        <family val="2"/>
      </rPr>
      <t xml:space="preserve">금융위기</t>
    </r>
    <r>
      <rPr>
        <sz val="10"/>
        <rFont val="Arial"/>
        <family val="0"/>
        <charset val="1"/>
      </rPr>
      <t xml:space="preserve">·2012 </t>
    </r>
    <r>
      <rPr>
        <sz val="10"/>
        <rFont val="WenQuanYi Zen Hei"/>
        <family val="2"/>
      </rPr>
      <t xml:space="preserve">도정법 개정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이명박 정부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등 구조적 원인 누락</t>
    </r>
    <r>
      <rPr>
        <sz val="10"/>
        <rFont val="Arial"/>
        <family val="0"/>
        <charset val="1"/>
      </rPr>
      <t xml:space="preserve">, (c) </t>
    </r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뉴타운 과잉지정 책임 축소로 과장되어 있음</t>
    </r>
  </si>
  <si>
    <t xml:space="preserve">핵심 판단 ②</t>
  </si>
  <si>
    <r>
      <rPr>
        <sz val="10"/>
        <rFont val="WenQuanYi Zen Hei"/>
        <family val="2"/>
      </rPr>
      <t xml:space="preserve">백서 자체 수치가 보도자료 결론과 충돌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매몰비용은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투입액의 약 </t>
    </r>
    <r>
      <rPr>
        <sz val="10"/>
        <rFont val="Arial"/>
        <family val="0"/>
        <charset val="1"/>
      </rPr>
      <t xml:space="preserve">15%)</t>
    </r>
    <r>
      <rPr>
        <sz val="10"/>
        <rFont val="WenQuanYi Zen Hei"/>
        <family val="2"/>
      </rPr>
      <t xml:space="preserve">인데 보도자료는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상당수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라고 표현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박원순 재임기</t>
    </r>
    <r>
      <rPr>
        <sz val="10"/>
        <rFont val="Arial"/>
        <family val="0"/>
        <charset val="1"/>
      </rPr>
      <t xml:space="preserve">(16~20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착공은 연 </t>
    </r>
    <r>
      <rPr>
        <sz val="10"/>
        <rFont val="Arial"/>
        <family val="0"/>
        <charset val="1"/>
      </rPr>
      <t xml:space="preserve">2.9</t>
    </r>
    <r>
      <rPr>
        <sz val="10"/>
        <rFont val="WenQuanYi Zen Hei"/>
        <family val="2"/>
      </rPr>
      <t xml:space="preserve">만호로 오히려 많았고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착공이 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만호로 반토막 난 기간</t>
    </r>
    <r>
      <rPr>
        <sz val="10"/>
        <rFont val="Arial"/>
        <family val="0"/>
        <charset val="1"/>
      </rPr>
      <t xml:space="preserve">(21~25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오세훈 재임기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백서 스스로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박시장 임기 내 인허가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준공의 </t>
    </r>
    <r>
      <rPr>
        <sz val="10"/>
        <rFont val="Arial"/>
        <family val="0"/>
        <charset val="1"/>
      </rPr>
      <t xml:space="preserve">70%' </t>
    </r>
    <r>
      <rPr>
        <sz val="10"/>
        <rFont val="WenQuanYi Zen Hei"/>
        <family val="2"/>
      </rPr>
      <t xml:space="preserve">수치를 제시</t>
    </r>
  </si>
  <si>
    <r>
      <rPr>
        <b val="true"/>
        <sz val="10"/>
        <rFont val="WenQuanYi Zen Hei"/>
        <family val="2"/>
      </rPr>
      <t xml:space="preserve">핵심 판단 ③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가리려는 것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</si>
  <si>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오세훈 재임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(2021~2025) 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입주 실적 부진과 현재 집값 급등 책임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특히 </t>
    </r>
    <r>
      <rPr>
        <sz val="10"/>
        <rFont val="Arial"/>
        <family val="0"/>
        <charset val="1"/>
      </rPr>
      <t xml:space="preserve">2025.2 </t>
    </r>
    <r>
      <rPr>
        <sz val="10"/>
        <rFont val="WenQuanYi Zen Hei"/>
        <family val="2"/>
      </rPr>
      <t xml:space="preserve">토허제 해제→한 달 만 재지정</t>
    </r>
    <r>
      <rPr>
        <sz val="10"/>
        <rFont val="Arial"/>
        <family val="0"/>
        <charset val="1"/>
      </rPr>
      <t xml:space="preserve">) ② </t>
    </r>
    <r>
      <rPr>
        <sz val="10"/>
        <rFont val="WenQuanYi Zen Hei"/>
        <family val="2"/>
      </rPr>
      <t xml:space="preserve">구역지정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계획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숫자로 공급 성과를 대체하는 착시 ③ 모아타운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신속통합기획의 실착공 저조와 갈등 ④ 청년안심주택 보증금 미반환 등 임대정책 부실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건설형 공공임대 급감 ⑤ 국감 비주택 쟁점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한강버스</t>
    </r>
    <r>
      <rPr>
        <sz val="10"/>
        <rFont val="Arial"/>
        <family val="0"/>
        <charset val="1"/>
      </rPr>
      <t xml:space="preserve">·GTX-A·</t>
    </r>
    <r>
      <rPr>
        <sz val="10"/>
        <rFont val="WenQuanYi Zen Hei"/>
        <family val="2"/>
      </rPr>
      <t xml:space="preserve">세운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의제 전환 ⑥ 정부와의 공급 갈등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용산공원 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그린벨트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정비사업 권한 이양 반대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 발목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이라는 역공 프레임 회피</t>
    </r>
  </si>
  <si>
    <t xml:space="preserve">시트 구성</t>
  </si>
  <si>
    <r>
      <rPr>
        <sz val="10"/>
        <rFont val="Arial"/>
        <family val="0"/>
        <charset val="1"/>
      </rPr>
      <t xml:space="preserve">1_</t>
    </r>
    <r>
      <rPr>
        <sz val="10"/>
        <rFont val="WenQuanYi Zen Hei"/>
        <family val="2"/>
      </rPr>
      <t xml:space="preserve">팩트체크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박원순 정책</t>
    </r>
    <r>
      <rPr>
        <sz val="10"/>
        <rFont val="Arial"/>
        <family val="0"/>
        <charset val="1"/>
      </rPr>
      <t xml:space="preserve">) / 2_</t>
    </r>
    <r>
      <rPr>
        <sz val="10"/>
        <rFont val="WenQuanYi Zen Hei"/>
        <family val="2"/>
      </rPr>
      <t xml:space="preserve">보도자료 논리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통계 문제점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수정사항</t>
    </r>
    <r>
      <rPr>
        <sz val="10"/>
        <rFont val="Arial"/>
        <family val="0"/>
        <charset val="1"/>
      </rPr>
      <t xml:space="preserve">) / 3_</t>
    </r>
    <r>
      <rPr>
        <sz val="10"/>
        <rFont val="WenQuanYi Zen Hei"/>
        <family val="2"/>
      </rPr>
      <t xml:space="preserve">오세훈 현 정책 문제점 </t>
    </r>
    <r>
      <rPr>
        <sz val="10"/>
        <rFont val="Arial"/>
        <family val="0"/>
        <charset val="1"/>
      </rPr>
      <t xml:space="preserve">/ 4_</t>
    </r>
    <r>
      <rPr>
        <sz val="10"/>
        <rFont val="WenQuanYi Zen Hei"/>
        <family val="2"/>
      </rPr>
      <t xml:space="preserve">가리려는 것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의도 분석</t>
    </r>
    <r>
      <rPr>
        <sz val="10"/>
        <rFont val="Arial"/>
        <family val="0"/>
        <charset val="1"/>
      </rPr>
      <t xml:space="preserve">) / 5_</t>
    </r>
    <r>
      <rPr>
        <sz val="10"/>
        <rFont val="WenQuanYi Zen Hei"/>
        <family val="2"/>
      </rPr>
      <t xml:space="preserve">수치검증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 / 6_</t>
    </r>
    <r>
      <rPr>
        <sz val="10"/>
        <rFont val="WenQuanYi Zen Hei"/>
        <family val="2"/>
      </rPr>
      <t xml:space="preserve">후속 자료요구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질의 </t>
    </r>
    <r>
      <rPr>
        <sz val="10"/>
        <rFont val="Arial"/>
        <family val="0"/>
        <charset val="1"/>
      </rPr>
      <t xml:space="preserve">/ 7_</t>
    </r>
    <r>
      <rPr>
        <sz val="10"/>
        <rFont val="WenQuanYi Zen Hei"/>
        <family val="2"/>
      </rPr>
      <t xml:space="preserve">출처</t>
    </r>
  </si>
  <si>
    <t xml:space="preserve">판정 기준</t>
  </si>
  <si>
    <r>
      <rPr>
        <sz val="10"/>
        <rFont val="WenQuanYi Zen Hei"/>
        <family val="2"/>
      </rPr>
      <t xml:space="preserve">사실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사실이나 맥락 누락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부분 사실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과장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과장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자기모순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오류 의심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검증 필요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색상으로 구분</t>
    </r>
    <r>
      <rPr>
        <sz val="10"/>
        <rFont val="Arial"/>
        <family val="0"/>
        <charset val="1"/>
      </rPr>
      <t xml:space="preserve">). '</t>
    </r>
    <r>
      <rPr>
        <sz val="10"/>
        <rFont val="WenQuanYi Zen Hei"/>
        <family val="2"/>
      </rPr>
      <t xml:space="preserve">검증 필요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공개자료로 확정하지 못해 서울시 원자료 요구가 필요한 항목</t>
    </r>
  </si>
  <si>
    <t xml:space="preserve">유의사항</t>
  </si>
  <si>
    <r>
      <rPr>
        <sz val="10"/>
        <rFont val="WenQuanYi Zen Hei"/>
        <family val="2"/>
      </rPr>
      <t xml:space="preserve">본 분석은 보도자료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백서 원문</t>
    </r>
    <r>
      <rPr>
        <sz val="10"/>
        <rFont val="Arial"/>
        <family val="0"/>
        <charset val="1"/>
      </rPr>
      <t xml:space="preserve">, 2026.10 </t>
    </r>
    <r>
      <rPr>
        <sz val="10"/>
        <rFont val="WenQuanYi Zen Hei"/>
        <family val="2"/>
      </rPr>
      <t xml:space="preserve">국감 보도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공개 언론보도와 일반에 알려진 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제도 연혁에 근거함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판결번호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통계 원값 등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검증 필요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표시 항목은 국회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시의회 자료요구로 원자료를 확인한 뒤 인용할 것을 권고</t>
    </r>
  </si>
  <si>
    <t xml:space="preserve">No</t>
  </si>
  <si>
    <t xml:space="preserve">쟁점</t>
  </si>
  <si>
    <r>
      <rPr>
        <b val="true"/>
        <sz val="10"/>
        <color rgb="FFFFFFFF"/>
        <rFont val="WenQuanYi Zen Hei"/>
        <family val="2"/>
      </rPr>
      <t xml:space="preserve">보도자료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백서 주장</t>
    </r>
  </si>
  <si>
    <r>
      <rPr>
        <b val="true"/>
        <sz val="10"/>
        <color rgb="FFFFFFFF"/>
        <rFont val="WenQuanYi Zen Hei"/>
        <family val="2"/>
      </rPr>
      <t xml:space="preserve">확인된 사실관계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반론</t>
    </r>
  </si>
  <si>
    <t xml:space="preserve">판정</t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</si>
  <si>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출처</t>
    </r>
  </si>
  <si>
    <t xml:space="preserve">추가 확인할 자료</t>
  </si>
  <si>
    <r>
      <rPr>
        <sz val="10"/>
        <rFont val="WenQuanYi Zen Hei"/>
        <family val="2"/>
      </rPr>
      <t xml:space="preserve">해제의 법적 근거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주체</t>
    </r>
  </si>
  <si>
    <r>
      <rPr>
        <sz val="10"/>
        <rFont val="WenQuanYi Zen Hei"/>
        <family val="2"/>
      </rPr>
      <t xml:space="preserve">박원순 시정의 정책 판단으로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뉴타운 출구전략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</si>
  <si>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정비구역 해제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일몰제의 법적 근거는 </t>
    </r>
    <r>
      <rPr>
        <sz val="10"/>
        <rFont val="Arial"/>
        <family val="0"/>
        <charset val="1"/>
      </rPr>
      <t xml:space="preserve">2012.2 </t>
    </r>
    <r>
      <rPr>
        <sz val="10"/>
        <rFont val="WenQuanYi Zen Hei"/>
        <family val="2"/>
      </rPr>
      <t xml:space="preserve">시행 「도시정비법」 개정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이명박 정부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한나라당 다수 국회</t>
    </r>
    <r>
      <rPr>
        <sz val="10"/>
        <rFont val="Arial"/>
        <family val="0"/>
        <charset val="1"/>
      </rPr>
      <t xml:space="preserve">, 2011.8 </t>
    </r>
    <r>
      <rPr>
        <sz val="10"/>
        <rFont val="WenQuanYi Zen Hei"/>
        <family val="2"/>
      </rPr>
      <t xml:space="preserve">국토해양부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도시재정비 및 주거환경정비 제도개선안</t>
    </r>
    <r>
      <rPr>
        <sz val="10"/>
        <rFont val="Arial"/>
        <family val="0"/>
        <charset val="1"/>
      </rPr>
      <t xml:space="preserve">')</t>
    </r>
    <r>
      <rPr>
        <sz val="10"/>
        <rFont val="WenQuanYi Zen Hei"/>
        <family val="2"/>
      </rPr>
      <t xml:space="preserve">으로 마련됨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p.(</t>
    </r>
    <r>
      <rPr>
        <sz val="10"/>
        <rFont val="WenQuanYi Zen Hei"/>
        <family val="2"/>
      </rPr>
      <t xml:space="preserve">박원순편 시대적배경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에도 해당 기사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아주경제 </t>
    </r>
    <r>
      <rPr>
        <sz val="10"/>
        <rFont val="Arial"/>
        <family val="0"/>
        <charset val="1"/>
      </rPr>
      <t xml:space="preserve">2011.8.8 '</t>
    </r>
    <r>
      <rPr>
        <sz val="10"/>
        <rFont val="WenQuanYi Zen Hei"/>
        <family val="2"/>
      </rPr>
      <t xml:space="preserve">주민 절반 원하면 뉴타운 해제 가능</t>
    </r>
    <r>
      <rPr>
        <sz val="10"/>
        <rFont val="Arial"/>
        <family val="0"/>
        <charset val="1"/>
      </rPr>
      <t xml:space="preserve">')</t>
    </r>
    <r>
      <rPr>
        <sz val="10"/>
        <rFont val="WenQuanYi Zen Hei"/>
        <family val="2"/>
      </rPr>
      <t xml:space="preserve">가 실려 있음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시정 판단만의 결과로 서술한 것은 맥락 누락</t>
    </r>
  </si>
  <si>
    <t xml:space="preserve">사실이나 맥락 누락</t>
  </si>
  <si>
    <r>
      <rPr>
        <sz val="10"/>
        <rFont val="WenQuanYi Zen Hei"/>
        <family val="2"/>
      </rPr>
      <t xml:space="preserve">백서 본문 </t>
    </r>
    <r>
      <rPr>
        <sz val="10"/>
        <rFont val="Arial"/>
        <family val="0"/>
        <charset val="1"/>
      </rPr>
      <t xml:space="preserve">'’12.1</t>
    </r>
    <r>
      <rPr>
        <sz val="10"/>
        <rFont val="WenQuanYi Zen Hei"/>
        <family val="2"/>
      </rPr>
      <t xml:space="preserve">월 「도정법」 개정시행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표기 및 인용 기사</t>
    </r>
  </si>
  <si>
    <r>
      <rPr>
        <sz val="10"/>
        <rFont val="WenQuanYi Zen Hei"/>
        <family val="2"/>
      </rPr>
      <t xml:space="preserve">국토부 </t>
    </r>
    <r>
      <rPr>
        <sz val="10"/>
        <rFont val="Arial"/>
        <family val="0"/>
        <charset val="1"/>
      </rPr>
      <t xml:space="preserve">2012 </t>
    </r>
    <r>
      <rPr>
        <sz val="10"/>
        <rFont val="WenQuanYi Zen Hei"/>
        <family val="2"/>
      </rPr>
      <t xml:space="preserve">도정법 개정 취지문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해제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중 법정 요건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토지등소유자 요청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해당 건수</t>
    </r>
  </si>
  <si>
    <t xml:space="preserve">해제의 시작 시점</t>
  </si>
  <si>
    <r>
      <rPr>
        <sz val="10"/>
        <rFont val="WenQuanYi Zen Hei"/>
        <family val="2"/>
      </rPr>
      <t xml:space="preserve">박원순 시정</t>
    </r>
    <r>
      <rPr>
        <sz val="10"/>
        <rFont val="Arial"/>
        <family val="0"/>
        <charset val="1"/>
      </rPr>
      <t xml:space="preserve">(2012~2020)</t>
    </r>
    <r>
      <rPr>
        <sz val="10"/>
        <rFont val="WenQuanYi Zen Hei"/>
        <family val="2"/>
      </rPr>
      <t xml:space="preserve">에 해제 집중</t>
    </r>
  </si>
  <si>
    <r>
      <rPr>
        <sz val="10"/>
        <rFont val="WenQuanYi Zen Hei"/>
        <family val="2"/>
      </rPr>
      <t xml:space="preserve">해제는 </t>
    </r>
    <r>
      <rPr>
        <sz val="10"/>
        <rFont val="Arial"/>
        <family val="0"/>
        <charset val="1"/>
      </rPr>
      <t xml:space="preserve">2011</t>
    </r>
    <r>
      <rPr>
        <sz val="10"/>
        <rFont val="WenQuanYi Zen Hei"/>
        <family val="2"/>
      </rPr>
      <t xml:space="preserve">년 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말에 이미 시작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오세훈 시장 </t>
    </r>
    <r>
      <rPr>
        <sz val="10"/>
        <rFont val="Arial"/>
        <family val="0"/>
        <charset val="1"/>
      </rPr>
      <t xml:space="preserve">808</t>
    </r>
    <r>
      <rPr>
        <sz val="10"/>
        <rFont val="WenQuanYi Zen Hei"/>
        <family val="2"/>
      </rPr>
      <t xml:space="preserve">곳 중 </t>
    </r>
    <r>
      <rPr>
        <sz val="10"/>
        <rFont val="Arial"/>
        <family val="0"/>
        <charset val="1"/>
      </rPr>
      <t xml:space="preserve">4% </t>
    </r>
    <r>
      <rPr>
        <sz val="10"/>
        <rFont val="WenQuanYi Zen Hei"/>
        <family val="2"/>
      </rPr>
      <t xml:space="preserve">해제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마장</t>
    </r>
    <r>
      <rPr>
        <sz val="10"/>
        <rFont val="Arial"/>
        <family val="0"/>
        <charset val="1"/>
      </rPr>
      <t xml:space="preserve">1·2, </t>
    </r>
    <r>
      <rPr>
        <sz val="10"/>
        <rFont val="WenQuanYi Zen Hei"/>
        <family val="2"/>
      </rPr>
      <t xml:space="preserve">구의동 </t>
    </r>
    <r>
      <rPr>
        <sz val="10"/>
        <rFont val="Arial"/>
        <family val="0"/>
        <charset val="1"/>
      </rPr>
      <t xml:space="preserve">72-3 </t>
    </r>
    <r>
      <rPr>
        <sz val="10"/>
        <rFont val="WenQuanYi Zen Hei"/>
        <family val="2"/>
      </rPr>
      <t xml:space="preserve">등 </t>
    </r>
    <r>
      <rPr>
        <sz val="10"/>
        <rFont val="Arial"/>
        <family val="0"/>
        <charset val="1"/>
      </rPr>
      <t xml:space="preserve">2011.9 </t>
    </r>
    <r>
      <rPr>
        <sz val="10"/>
        <rFont val="WenQuanYi Zen Hei"/>
        <family val="2"/>
      </rPr>
      <t xml:space="preserve">해제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백서는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사업 정체구역 해제는 정당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박원순 해제는 부당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이라는 이중 기준 제시</t>
    </r>
  </si>
  <si>
    <r>
      <rPr>
        <sz val="10"/>
        <rFont val="WenQuanYi Zen Hei"/>
        <family val="2"/>
      </rPr>
      <t xml:space="preserve">백서 시사점 페이지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구역해제는 오세훈 시장부터 시작했다는데…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</si>
  <si>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2011</t>
    </r>
    <r>
      <rPr>
        <sz val="10"/>
        <rFont val="WenQuanYi Zen Hei"/>
        <family val="2"/>
      </rPr>
      <t xml:space="preserve">년 해제 구역 목록과 해제 사유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주민요청 비율</t>
    </r>
    <r>
      <rPr>
        <sz val="10"/>
        <rFont val="Arial"/>
        <family val="0"/>
        <charset val="1"/>
      </rPr>
      <t xml:space="preserve">)</t>
    </r>
  </si>
  <si>
    <t xml:space="preserve">해제 배경 – 시장 여건</t>
  </si>
  <si>
    <t xml:space="preserve">장기적 공급대책 없이 정비사업을 중단한 정책 판단</t>
  </si>
  <si>
    <r>
      <rPr>
        <sz val="10"/>
        <rFont val="Arial"/>
        <family val="0"/>
        <charset val="1"/>
      </rPr>
      <t xml:space="preserve">2008 </t>
    </r>
    <r>
      <rPr>
        <sz val="10"/>
        <rFont val="WenQuanYi Zen Hei"/>
        <family val="2"/>
      </rPr>
      <t xml:space="preserve">글로벌 금융위기 이후 </t>
    </r>
    <r>
      <rPr>
        <sz val="10"/>
        <rFont val="Arial"/>
        <family val="0"/>
        <charset val="1"/>
      </rPr>
      <t xml:space="preserve">2010~2013 </t>
    </r>
    <r>
      <rPr>
        <sz val="10"/>
        <rFont val="WenQuanYi Zen Hei"/>
        <family val="2"/>
      </rPr>
      <t xml:space="preserve">서울 집값 하락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미분양으로 뉴타운 사업성이 급락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추가분담금 공포로 주민 반대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소송이 폭증했음</t>
    </r>
    <r>
      <rPr>
        <sz val="10"/>
        <rFont val="Arial"/>
        <family val="0"/>
        <charset val="1"/>
      </rPr>
      <t xml:space="preserve">. 2008 </t>
    </r>
    <r>
      <rPr>
        <sz val="10"/>
        <rFont val="WenQuanYi Zen Hei"/>
        <family val="2"/>
      </rPr>
      <t xml:space="preserve">총선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뉴타운 공약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남발 논란과 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</t>
    </r>
    <r>
      <rPr>
        <sz val="10"/>
        <rFont val="Arial"/>
        <family val="0"/>
        <charset val="1"/>
      </rPr>
      <t xml:space="preserve">(06~11) 221</t>
    </r>
    <r>
      <rPr>
        <sz val="10"/>
        <rFont val="WenQuanYi Zen Hei"/>
        <family val="2"/>
      </rPr>
      <t xml:space="preserve">개 구역 추가 지정이 과잉 지정 문제를 키웠다는 평가가 다수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보도자료는 수요 측 붕괴 요인을 누락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</si>
  <si>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'’08 </t>
    </r>
    <r>
      <rPr>
        <sz val="10"/>
        <rFont val="WenQuanYi Zen Hei"/>
        <family val="2"/>
      </rPr>
      <t xml:space="preserve">금융위기 이후…엇박자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그래프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스스로 금융위기 표기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</si>
  <si>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해제 구역별 해제 직전 사업성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비례율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추정분담금 자료</t>
    </r>
  </si>
  <si>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</t>
    </r>
    <r>
      <rPr>
        <sz val="10"/>
        <rFont val="Arial"/>
        <family val="0"/>
        <charset val="1"/>
      </rPr>
      <t xml:space="preserve">= '</t>
    </r>
    <r>
      <rPr>
        <sz val="10"/>
        <rFont val="WenQuanYi Zen Hei"/>
        <family val="2"/>
      </rPr>
      <t xml:space="preserve">정비구역</t>
    </r>
    <r>
      <rPr>
        <sz val="10"/>
        <rFont val="Arial"/>
        <family val="0"/>
        <charset val="1"/>
      </rPr>
      <t xml:space="preserve">'?</t>
    </r>
  </si>
  <si>
    <r>
      <rPr>
        <sz val="10"/>
        <rFont val="Arial"/>
        <family val="0"/>
        <charset val="1"/>
      </rPr>
      <t xml:space="preserve">2012~2020</t>
    </r>
    <r>
      <rPr>
        <sz val="10"/>
        <rFont val="WenQuanYi Zen Hei"/>
        <family val="2"/>
      </rPr>
      <t xml:space="preserve">년 전체 정비구역 </t>
    </r>
    <r>
      <rPr>
        <sz val="10"/>
        <rFont val="Arial"/>
        <family val="0"/>
        <charset val="1"/>
      </rPr>
      <t xml:space="preserve">683</t>
    </r>
    <r>
      <rPr>
        <sz val="10"/>
        <rFont val="WenQuanYi Zen Hei"/>
        <family val="2"/>
      </rPr>
      <t xml:space="preserve">곳 중 </t>
    </r>
    <r>
      <rPr>
        <sz val="10"/>
        <rFont val="Arial"/>
        <family val="0"/>
        <charset val="1"/>
      </rPr>
      <t xml:space="preserve">57%</t>
    </r>
    <r>
      <rPr>
        <sz val="10"/>
        <rFont val="WenQuanYi Zen Hei"/>
        <family val="2"/>
      </rPr>
      <t xml:space="preserve">인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</si>
  <si>
    <r>
      <rPr>
        <sz val="10"/>
        <rFont val="WenQuanYi Zen Hei"/>
        <family val="2"/>
      </rPr>
      <t xml:space="preserve">백서 도표상 해제 당시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추진주체 구성 후 해제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(41%)</t>
    </r>
    <r>
      <rPr>
        <sz val="10"/>
        <rFont val="WenQuanYi Zen Hei"/>
        <family val="2"/>
      </rPr>
      <t xml:space="preserve">뿐이고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나머지 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(59%)</t>
    </r>
    <r>
      <rPr>
        <sz val="10"/>
        <rFont val="WenQuanYi Zen Hei"/>
        <family val="2"/>
      </rPr>
      <t xml:space="preserve">은 정비예정구역 단계이거나 추진주체가 없던 곳</t>
    </r>
    <r>
      <rPr>
        <sz val="10"/>
        <rFont val="Arial"/>
        <family val="0"/>
        <charset val="1"/>
      </rPr>
      <t xml:space="preserve">. '</t>
    </r>
    <r>
      <rPr>
        <sz val="10"/>
        <rFont val="WenQuanYi Zen Hei"/>
        <family val="2"/>
      </rPr>
      <t xml:space="preserve">정비구역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예정구역까지 합산한 표현으로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사업이 실제 진행되던 곳을 대거 해제한 것처럼 읽히게 함</t>
    </r>
  </si>
  <si>
    <r>
      <rPr>
        <b val="true"/>
        <sz val="10"/>
        <rFont val="WenQuanYi Zen Hei"/>
        <family val="2"/>
      </rPr>
      <t xml:space="preserve">부분 사실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과장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</si>
  <si>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해제 당시 사업 단계별 구역 수</t>
    </r>
    <r>
      <rPr>
        <sz val="10"/>
        <rFont val="Arial"/>
        <family val="0"/>
        <charset val="1"/>
      </rPr>
      <t xml:space="preserve">(389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)'</t>
    </r>
  </si>
  <si>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단계별 내역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예정구역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구역지정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추진위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조합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사업시행인가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</si>
  <si>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공급 기회 상실</t>
    </r>
  </si>
  <si>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해제로 약 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 호 공급 기회가 사라짐</t>
    </r>
  </si>
  <si>
    <r>
      <rPr>
        <sz val="10"/>
        <rFont val="WenQuanYi Zen Hei"/>
        <family val="2"/>
      </rPr>
      <t xml:space="preserve">산정 근거 미공개</t>
    </r>
    <r>
      <rPr>
        <sz val="10"/>
        <rFont val="Arial"/>
        <family val="0"/>
        <charset val="1"/>
      </rPr>
      <t xml:space="preserve">. ① </t>
    </r>
    <r>
      <rPr>
        <sz val="10"/>
        <rFont val="WenQuanYi Zen Hei"/>
        <family val="2"/>
      </rPr>
      <t xml:space="preserve">계획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구상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세대수의 총량이며 기존 주택 멸실을 뺀 순증 물량이 아님 ② 예정구역의 개략 계획까지 포함 ③ 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뉴타운 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개 지구</t>
    </r>
    <r>
      <rPr>
        <sz val="10"/>
        <rFont val="Arial"/>
        <family val="0"/>
        <charset val="1"/>
      </rPr>
      <t xml:space="preserve">·297</t>
    </r>
    <r>
      <rPr>
        <sz val="10"/>
        <rFont val="WenQuanYi Zen Hei"/>
        <family val="2"/>
      </rPr>
      <t xml:space="preserve">개 구역 전체 공급계획이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천호인데 해제분만 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만호라는 것은 모집단이 다름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설명 필요</t>
    </r>
    <r>
      <rPr>
        <sz val="10"/>
        <rFont val="Arial"/>
        <family val="0"/>
        <charset val="1"/>
      </rPr>
      <t xml:space="preserve">) ④ </t>
    </r>
    <r>
      <rPr>
        <sz val="10"/>
        <rFont val="WenQuanYi Zen Hei"/>
        <family val="2"/>
      </rPr>
      <t xml:space="preserve">해제 구역 중 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곳은 재추진 중이므로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 아닌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지연</t>
    </r>
    <r>
      <rPr>
        <sz val="10"/>
        <rFont val="Arial"/>
        <family val="0"/>
        <charset val="1"/>
      </rPr>
      <t xml:space="preserve">' ⑤ </t>
    </r>
    <r>
      <rPr>
        <sz val="10"/>
        <rFont val="WenQuanYi Zen Hei"/>
        <family val="2"/>
      </rPr>
      <t xml:space="preserve">해제가 없었더라도 금융위기 이후 정체 구역 상당수는 착공 불가능했을 가능성</t>
    </r>
  </si>
  <si>
    <t xml:space="preserve">과장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</si>
  <si>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p.2, 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p.(</t>
    </r>
    <r>
      <rPr>
        <sz val="10"/>
        <rFont val="WenQuanYi Zen Hei"/>
        <family val="2"/>
      </rPr>
      <t xml:space="preserve">박원순편 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</si>
  <si>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산정표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구역별 계획세대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기존세대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순증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계획 수립 시점</t>
    </r>
  </si>
  <si>
    <r>
      <rPr>
        <sz val="10"/>
        <rFont val="WenQuanYi Zen Hei"/>
        <family val="2"/>
      </rPr>
      <t xml:space="preserve">해제 유형 </t>
    </r>
    <r>
      <rPr>
        <sz val="10"/>
        <rFont val="Arial"/>
        <family val="0"/>
        <charset val="1"/>
      </rPr>
      <t xml:space="preserve">A/B/C</t>
    </r>
  </si>
  <si>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직권해제 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(17%), 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절차부실 등 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(68%), 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일몰 기계적 해제 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(15%)</t>
    </r>
  </si>
  <si>
    <r>
      <rPr>
        <sz val="10"/>
        <rFont val="WenQuanYi Zen Hei"/>
        <family val="2"/>
      </rPr>
      <t xml:space="preserve">합계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곳으로 산술은 일치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그러나 유형</t>
    </r>
    <r>
      <rPr>
        <sz val="10"/>
        <rFont val="Arial"/>
        <family val="0"/>
        <charset val="1"/>
      </rPr>
      <t xml:space="preserve">B 264</t>
    </r>
    <r>
      <rPr>
        <sz val="10"/>
        <rFont val="WenQuanYi Zen Hei"/>
        <family val="2"/>
      </rPr>
      <t xml:space="preserve">곳은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주민 요청 등 의견조사를 거친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해제인데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절차 부실 등이 있었던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일괄 낙인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백서가 제시한 위법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부실 사례는 장위</t>
    </r>
    <r>
      <rPr>
        <sz val="10"/>
        <rFont val="Arial"/>
        <family val="0"/>
        <charset val="1"/>
      </rPr>
      <t xml:space="preserve">15, </t>
    </r>
    <r>
      <rPr>
        <sz val="10"/>
        <rFont val="WenQuanYi Zen Hei"/>
        <family val="2"/>
      </rPr>
      <t xml:space="preserve">신길</t>
    </r>
    <r>
      <rPr>
        <sz val="10"/>
        <rFont val="Arial"/>
        <family val="0"/>
        <charset val="1"/>
      </rPr>
      <t xml:space="preserve">1, </t>
    </r>
    <r>
      <rPr>
        <sz val="10"/>
        <rFont val="WenQuanYi Zen Hei"/>
        <family val="2"/>
      </rPr>
      <t xml:space="preserve">장위</t>
    </r>
    <r>
      <rPr>
        <sz val="10"/>
        <rFont val="Arial"/>
        <family val="0"/>
        <charset val="1"/>
      </rPr>
      <t xml:space="preserve">8·9·11, </t>
    </r>
    <r>
      <rPr>
        <sz val="10"/>
        <rFont val="WenQuanYi Zen Hei"/>
        <family val="2"/>
      </rPr>
      <t xml:space="preserve">홍은</t>
    </r>
    <r>
      <rPr>
        <sz val="10"/>
        <rFont val="Arial"/>
        <family val="0"/>
        <charset val="1"/>
      </rPr>
      <t xml:space="preserve">1, </t>
    </r>
    <r>
      <rPr>
        <sz val="10"/>
        <rFont val="WenQuanYi Zen Hei"/>
        <family val="2"/>
      </rPr>
      <t xml:space="preserve">독산</t>
    </r>
    <r>
      <rPr>
        <sz val="10"/>
        <rFont val="Arial"/>
        <family val="0"/>
        <charset val="1"/>
      </rPr>
      <t xml:space="preserve">2, </t>
    </r>
    <r>
      <rPr>
        <sz val="10"/>
        <rFont val="WenQuanYi Zen Hei"/>
        <family val="2"/>
      </rPr>
      <t xml:space="preserve">증산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등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곳 안팎</t>
    </r>
    <r>
      <rPr>
        <sz val="10"/>
        <rFont val="Arial"/>
        <family val="0"/>
        <charset val="1"/>
      </rPr>
      <t xml:space="preserve">. 264</t>
    </r>
    <r>
      <rPr>
        <sz val="10"/>
        <rFont val="WenQuanYi Zen Hei"/>
        <family val="2"/>
      </rPr>
      <t xml:space="preserve">곳 중 실제 절차 하자 확인 건수는 미제시 → 일반화 오류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유형 분류 주체도 현 서울시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이해당사자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</si>
  <si>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'①</t>
    </r>
    <r>
      <rPr>
        <sz val="10"/>
        <rFont val="WenQuanYi Zen Hei"/>
        <family val="2"/>
      </rPr>
      <t xml:space="preserve">직권해제 ②주민의견 수렴 ③일몰제 등 비상식적 방식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</si>
  <si>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B 264</t>
    </r>
    <r>
      <rPr>
        <sz val="10"/>
        <rFont val="WenQuanYi Zen Hei"/>
        <family val="2"/>
      </rPr>
      <t xml:space="preserve">곳 중 소송 제기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위법 판결 건수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의견조사 찬반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참여율 전수</t>
    </r>
  </si>
  <si>
    <r>
      <rPr>
        <sz val="10"/>
        <rFont val="WenQuanYi Zen Hei"/>
        <family val="2"/>
      </rPr>
      <t xml:space="preserve">사직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구역 직권해제</t>
    </r>
  </si>
  <si>
    <r>
      <rPr>
        <sz val="10"/>
        <rFont val="WenQuanYi Zen Hei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문화 가치 보존 사유로 의견조사 없이 직권해제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대법원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위법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판결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근거 조례 삭제</t>
    </r>
  </si>
  <si>
    <r>
      <rPr>
        <sz val="10"/>
        <rFont val="Arial"/>
        <family val="0"/>
        <charset val="1"/>
      </rPr>
      <t xml:space="preserve">2017.3 </t>
    </r>
    <r>
      <rPr>
        <sz val="10"/>
        <rFont val="WenQuanYi Zen Hei"/>
        <family val="2"/>
      </rPr>
      <t xml:space="preserve">역사문화 보존 사유 직권해제 → 법원에서 해제 무효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조합 승소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사업 재개된 것은 사실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해당 조례 조항은 </t>
    </r>
    <r>
      <rPr>
        <sz val="10"/>
        <rFont val="Arial"/>
        <family val="0"/>
        <charset val="1"/>
      </rPr>
      <t xml:space="preserve">2019.9 </t>
    </r>
    <r>
      <rPr>
        <sz val="10"/>
        <rFont val="WenQuanYi Zen Hei"/>
        <family val="2"/>
      </rPr>
      <t xml:space="preserve">박원순 시정 기간에 이미 삭제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'’19.9. </t>
    </r>
    <r>
      <rPr>
        <sz val="10"/>
        <rFont val="WenQuanYi Zen Hei"/>
        <family val="2"/>
      </rPr>
      <t xml:space="preserve">조항 삭제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표기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보도자료의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결국 삭제됐다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표현은 현 시정이 바로잡은 것처럼 읽힐 여지</t>
    </r>
  </si>
  <si>
    <t xml:space="preserve">대체로 사실</t>
  </si>
  <si>
    <r>
      <rPr>
        <sz val="10"/>
        <rFont val="WenQuanYi Zen Hei"/>
        <family val="2"/>
      </rPr>
      <t xml:space="preserve">비즈한국</t>
    </r>
    <r>
      <rPr>
        <sz val="10"/>
        <rFont val="Arial"/>
        <family val="0"/>
        <charset val="1"/>
      </rPr>
      <t xml:space="preserve">(2019.9), </t>
    </r>
    <r>
      <rPr>
        <sz val="10"/>
        <rFont val="WenQuanYi Zen Hei"/>
        <family val="2"/>
      </rPr>
      <t xml:space="preserve">한국경제</t>
    </r>
    <r>
      <rPr>
        <sz val="10"/>
        <rFont val="Arial"/>
        <family val="0"/>
        <charset val="1"/>
      </rPr>
      <t xml:space="preserve">(2017.3.16), </t>
    </r>
    <r>
      <rPr>
        <sz val="10"/>
        <rFont val="WenQuanYi Zen Hei"/>
        <family val="2"/>
      </rPr>
      <t xml:space="preserve">백서</t>
    </r>
  </si>
  <si>
    <r>
      <rPr>
        <sz val="10"/>
        <rFont val="WenQuanYi Zen Hei"/>
        <family val="2"/>
      </rPr>
      <t xml:space="preserve">대법원 사건번호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선고일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조례 개정 이력</t>
    </r>
    <r>
      <rPr>
        <sz val="10"/>
        <rFont val="Arial"/>
        <family val="0"/>
        <charset val="1"/>
      </rPr>
      <t xml:space="preserve">(2016·2019)</t>
    </r>
  </si>
  <si>
    <r>
      <rPr>
        <sz val="10"/>
        <rFont val="WenQuanYi Zen Hei"/>
        <family val="2"/>
      </rPr>
      <t xml:space="preserve">창신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숭인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개 구역</t>
    </r>
  </si>
  <si>
    <t xml:space="preserve">사업실현 가능성이 낮다는 이유로 의견조사 없이 일방 해제</t>
  </si>
  <si>
    <r>
      <rPr>
        <sz val="10"/>
        <rFont val="WenQuanYi Zen Hei"/>
        <family val="2"/>
      </rPr>
      <t xml:space="preserve">백서 도표상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해제는 주민의견조사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해제 동의 </t>
    </r>
    <r>
      <rPr>
        <sz val="10"/>
        <rFont val="Arial"/>
        <family val="0"/>
        <charset val="1"/>
      </rPr>
      <t xml:space="preserve">30%)</t>
    </r>
    <r>
      <rPr>
        <sz val="10"/>
        <rFont val="WenQuanYi Zen Hei"/>
        <family val="2"/>
      </rPr>
      <t xml:space="preserve">를 거쳤음</t>
    </r>
    <r>
      <rPr>
        <sz val="10"/>
        <rFont val="Arial"/>
        <family val="0"/>
        <charset val="1"/>
      </rPr>
      <t xml:space="preserve">. 7</t>
    </r>
    <r>
      <rPr>
        <sz val="10"/>
        <rFont val="WenQuanYi Zen Hei"/>
        <family val="2"/>
      </rPr>
      <t xml:space="preserve">개 구역 직권해제 시 의견조사 생략은 사실</t>
    </r>
    <r>
      <rPr>
        <sz val="10"/>
        <rFont val="Arial"/>
        <family val="0"/>
        <charset val="1"/>
      </rPr>
      <t xml:space="preserve">. 7</t>
    </r>
    <r>
      <rPr>
        <sz val="10"/>
        <rFont val="WenQuanYi Zen Hei"/>
        <family val="2"/>
      </rPr>
      <t xml:space="preserve">개 구역 직권해제 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지구지정 최소면적 미달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나머지가 연쇄 해제된 것은 사실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이후 서울시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호 도시재생선도지역으로 지정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국비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</si>
  <si>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백서 창신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숭인 페이지</t>
    </r>
  </si>
  <si>
    <r>
      <rPr>
        <sz val="10"/>
        <rFont val="Arial"/>
        <family val="0"/>
        <charset val="1"/>
      </rPr>
      <t xml:space="preserve">2013 </t>
    </r>
    <r>
      <rPr>
        <sz val="10"/>
        <rFont val="WenQuanYi Zen Hei"/>
        <family val="2"/>
      </rPr>
      <t xml:space="preserve">창신숭인 해제 당시 주민의견조사 결과 원본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재생사업비 국비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시비 비율</t>
    </r>
  </si>
  <si>
    <r>
      <rPr>
        <sz val="10"/>
        <rFont val="WenQuanYi Zen Hei"/>
        <family val="2"/>
      </rPr>
      <t xml:space="preserve">장위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구역</t>
    </r>
  </si>
  <si>
    <r>
      <rPr>
        <sz val="10"/>
        <rFont val="WenQuanYi Zen Hei"/>
        <family val="2"/>
      </rPr>
      <t xml:space="preserve">부재자 주소 확인 없이 공시송달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졸속 의견조사</t>
    </r>
  </si>
  <si>
    <r>
      <rPr>
        <sz val="10"/>
        <rFont val="WenQuanYi Zen Hei"/>
        <family val="2"/>
      </rPr>
      <t xml:space="preserve">대법원 </t>
    </r>
    <r>
      <rPr>
        <sz val="10"/>
        <rFont val="Arial"/>
        <family val="0"/>
        <charset val="1"/>
      </rPr>
      <t xml:space="preserve">2021.1.14 </t>
    </r>
    <r>
      <rPr>
        <sz val="10"/>
        <rFont val="WenQuanYi Zen Hei"/>
        <family val="2"/>
      </rPr>
      <t xml:space="preserve">선고 </t>
    </r>
    <r>
      <rPr>
        <sz val="10"/>
        <rFont val="Arial"/>
        <family val="0"/>
        <charset val="1"/>
      </rPr>
      <t xml:space="preserve">2020</t>
    </r>
    <r>
      <rPr>
        <sz val="10"/>
        <rFont val="WenQuanYi Zen Hei"/>
        <family val="2"/>
      </rPr>
      <t xml:space="preserve">두</t>
    </r>
    <r>
      <rPr>
        <sz val="10"/>
        <rFont val="Arial"/>
        <family val="0"/>
        <charset val="1"/>
      </rPr>
      <t xml:space="preserve">50256 </t>
    </r>
    <r>
      <rPr>
        <sz val="10"/>
        <rFont val="WenQuanYi Zen Hei"/>
        <family val="2"/>
      </rPr>
      <t xml:space="preserve">판결로 직권해제 처분이 위법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행정절차법 제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조 제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항 위반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확정된 것은 사실</t>
    </r>
  </si>
  <si>
    <t xml:space="preserve">사실</t>
  </si>
  <si>
    <r>
      <rPr>
        <sz val="10"/>
        <rFont val="WenQuanYi Zen Hei"/>
        <family val="2"/>
      </rPr>
      <t xml:space="preserve">백서 인용 판결문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한국경제</t>
    </r>
    <r>
      <rPr>
        <sz val="10"/>
        <rFont val="Arial"/>
        <family val="0"/>
        <charset val="1"/>
      </rPr>
      <t xml:space="preserve">(2021.1.15)</t>
    </r>
  </si>
  <si>
    <t xml:space="preserve">-</t>
  </si>
  <si>
    <r>
      <rPr>
        <sz val="10"/>
        <rFont val="WenQuanYi Zen Hei"/>
        <family val="2"/>
      </rPr>
      <t xml:space="preserve">신길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구역 투표율 </t>
    </r>
    <r>
      <rPr>
        <sz val="10"/>
        <rFont val="Arial"/>
        <family val="0"/>
        <charset val="1"/>
      </rPr>
      <t xml:space="preserve">12%</t>
    </r>
  </si>
  <si>
    <r>
      <rPr>
        <sz val="10"/>
        <rFont val="WenQuanYi Zen Hei"/>
        <family val="2"/>
      </rPr>
      <t xml:space="preserve">참여율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에 불과한데 참여율을 높이려는 노력 없이 해제 강행</t>
    </r>
  </si>
  <si>
    <r>
      <rPr>
        <sz val="10"/>
        <rFont val="WenQuanYi Zen Hei"/>
        <family val="2"/>
      </rPr>
      <t xml:space="preserve">백서 도표상 신길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참여율 </t>
    </r>
    <r>
      <rPr>
        <sz val="10"/>
        <rFont val="Arial"/>
        <family val="0"/>
        <charset val="1"/>
      </rPr>
      <t xml:space="preserve">12.4% </t>
    </r>
    <r>
      <rPr>
        <sz val="10"/>
        <rFont val="WenQuanYi Zen Hei"/>
        <family val="2"/>
      </rPr>
      <t xml:space="preserve">미개표 종결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직권해제 신청 동의율 </t>
    </r>
    <r>
      <rPr>
        <sz val="10"/>
        <rFont val="Arial"/>
        <family val="0"/>
        <charset val="1"/>
      </rPr>
      <t xml:space="preserve">35%. </t>
    </r>
    <r>
      <rPr>
        <sz val="10"/>
        <rFont val="WenQuanYi Zen Hei"/>
        <family val="2"/>
      </rPr>
      <t xml:space="preserve">낮은 참여율 자체를 시의 책임으로 단정하기 어렵고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당시 지침상 개표 요건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해제 판단 근거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동의율 </t>
    </r>
    <r>
      <rPr>
        <sz val="10"/>
        <rFont val="Arial"/>
        <family val="0"/>
        <charset val="1"/>
      </rPr>
      <t xml:space="preserve">35%)</t>
    </r>
    <r>
      <rPr>
        <sz val="10"/>
        <rFont val="WenQuanYi Zen Hei"/>
        <family val="2"/>
      </rPr>
      <t xml:space="preserve">가 함께 제시돼야 함</t>
    </r>
  </si>
  <si>
    <r>
      <rPr>
        <sz val="10"/>
        <rFont val="WenQuanYi Zen Hei"/>
        <family val="2"/>
      </rPr>
      <t xml:space="preserve">백서 신길</t>
    </r>
    <r>
      <rPr>
        <sz val="10"/>
        <rFont val="Arial"/>
        <family val="0"/>
        <charset val="1"/>
      </rPr>
      <t xml:space="preserve">1·</t>
    </r>
    <r>
      <rPr>
        <sz val="10"/>
        <rFont val="WenQuanYi Zen Hei"/>
        <family val="2"/>
      </rPr>
      <t xml:space="preserve">장위</t>
    </r>
    <r>
      <rPr>
        <sz val="10"/>
        <rFont val="Arial"/>
        <family val="0"/>
        <charset val="1"/>
      </rPr>
      <t xml:space="preserve">8·9 </t>
    </r>
    <r>
      <rPr>
        <sz val="10"/>
        <rFont val="WenQuanYi Zen Hei"/>
        <family val="2"/>
      </rPr>
      <t xml:space="preserve">페이지</t>
    </r>
  </si>
  <si>
    <r>
      <rPr>
        <sz val="10"/>
        <rFont val="WenQuanYi Zen Hei"/>
        <family val="2"/>
      </rPr>
      <t xml:space="preserve">당시 의견조사 지침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개표 요건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해제 심의 회의록</t>
    </r>
  </si>
  <si>
    <r>
      <rPr>
        <sz val="10"/>
        <rFont val="WenQuanYi Zen Hei"/>
        <family val="2"/>
      </rPr>
      <t xml:space="preserve">증산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 일몰 해제</t>
    </r>
  </si>
  <si>
    <r>
      <rPr>
        <sz val="10"/>
        <rFont val="WenQuanYi Zen Hei"/>
        <family val="2"/>
      </rPr>
      <t xml:space="preserve">주민 </t>
    </r>
    <r>
      <rPr>
        <sz val="10"/>
        <rFont val="Arial"/>
        <family val="0"/>
        <charset val="1"/>
      </rPr>
      <t xml:space="preserve">77% </t>
    </r>
    <r>
      <rPr>
        <sz val="10"/>
        <rFont val="WenQuanYi Zen Hei"/>
        <family val="2"/>
      </rPr>
      <t xml:space="preserve">재개발 희망에도 일몰 연장 거부</t>
    </r>
  </si>
  <si>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는 추진위 측 주장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위원장 인터뷰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백서 도표상 일몰연장 요청 동의는 </t>
    </r>
    <r>
      <rPr>
        <sz val="10"/>
        <rFont val="Arial"/>
        <family val="0"/>
        <charset val="1"/>
      </rPr>
      <t xml:space="preserve">32%. </t>
    </r>
    <r>
      <rPr>
        <sz val="10"/>
        <rFont val="WenQuanYi Zen Hei"/>
        <family val="2"/>
      </rPr>
      <t xml:space="preserve">일몰제는 법정 제도이며 연장 여부는 도시계획위 재량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현재 서울시도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유연 적용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운영을 바꿨다는 서술은 사실관계 확인 필요</t>
    </r>
  </si>
  <si>
    <r>
      <rPr>
        <sz val="10"/>
        <rFont val="WenQuanYi Zen Hei"/>
        <family val="2"/>
      </rPr>
      <t xml:space="preserve">백서 증산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페이지</t>
    </r>
  </si>
  <si>
    <r>
      <rPr>
        <sz val="10"/>
        <rFont val="WenQuanYi Zen Hei"/>
        <family val="2"/>
      </rPr>
      <t xml:space="preserve">증산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일몰연장 심의 회의록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 시정 일몰연장 승인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거부 건수</t>
    </r>
  </si>
  <si>
    <t xml:space="preserve">착공 물량 반토막</t>
  </si>
  <si>
    <r>
      <rPr>
        <sz val="10"/>
        <rFont val="Arial"/>
        <family val="0"/>
        <charset val="1"/>
      </rPr>
      <t xml:space="preserve">16~20</t>
    </r>
    <r>
      <rPr>
        <sz val="10"/>
        <rFont val="WenQuanYi Zen Hei"/>
        <family val="2"/>
      </rPr>
      <t xml:space="preserve">년 연평균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천호 → </t>
    </r>
    <r>
      <rPr>
        <sz val="10"/>
        <rFont val="Arial"/>
        <family val="0"/>
        <charset val="1"/>
      </rPr>
      <t xml:space="preserve">21~25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천호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년 전 해제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신규지정 위축 충격이 현실화</t>
    </r>
  </si>
  <si>
    <r>
      <rPr>
        <sz val="10"/>
        <rFont val="WenQuanYi Zen Hei"/>
        <family val="2"/>
      </rPr>
      <t xml:space="preserve">수치 자체는 서울시 내부자료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그러나 ① </t>
    </r>
    <r>
      <rPr>
        <sz val="10"/>
        <rFont val="Arial"/>
        <family val="0"/>
        <charset val="1"/>
      </rPr>
      <t xml:space="preserve">2.9</t>
    </r>
    <r>
      <rPr>
        <sz val="10"/>
        <rFont val="WenQuanYi Zen Hei"/>
        <family val="2"/>
      </rPr>
      <t xml:space="preserve">만호 시기가 박원순 재임기</t>
    </r>
    <r>
      <rPr>
        <sz val="10"/>
        <rFont val="Arial"/>
        <family val="0"/>
        <charset val="1"/>
      </rPr>
      <t xml:space="preserve">, 1.5</t>
    </r>
    <r>
      <rPr>
        <sz val="10"/>
        <rFont val="WenQuanYi Zen Hei"/>
        <family val="2"/>
      </rPr>
      <t xml:space="preserve">만호 시기가 오세훈 재임기 ② </t>
    </r>
    <r>
      <rPr>
        <sz val="10"/>
        <rFont val="Arial"/>
        <family val="0"/>
        <charset val="1"/>
      </rPr>
      <t xml:space="preserve">2022 </t>
    </r>
    <r>
      <rPr>
        <sz val="10"/>
        <rFont val="WenQuanYi Zen Hei"/>
        <family val="2"/>
      </rPr>
      <t xml:space="preserve">이후 금리 급등</t>
    </r>
    <r>
      <rPr>
        <sz val="10"/>
        <rFont val="Arial"/>
        <family val="0"/>
        <charset val="1"/>
      </rPr>
      <t xml:space="preserve">·PF </t>
    </r>
    <r>
      <rPr>
        <sz val="10"/>
        <rFont val="WenQuanYi Zen Hei"/>
        <family val="2"/>
      </rPr>
      <t xml:space="preserve">경색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레고랜드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공사비 급등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재건축초과이익환수 등 시장 요인을 백서도 비아파트에서만 인정 ③ 같은 기간 사업시행인가는 </t>
    </r>
    <r>
      <rPr>
        <sz val="10"/>
        <rFont val="Arial"/>
        <family val="0"/>
        <charset val="1"/>
      </rPr>
      <t xml:space="preserve">99→129</t>
    </r>
    <r>
      <rPr>
        <sz val="10"/>
        <rFont val="WenQuanYi Zen Hei"/>
        <family val="2"/>
      </rPr>
      <t xml:space="preserve">곳으로 늘었는데 착공은 줄어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구역지정→착공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인과가 약함</t>
    </r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</si>
  <si>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p.4, 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공급체계 붕괴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페이지</t>
    </r>
  </si>
  <si>
    <r>
      <rPr>
        <sz val="10"/>
        <rFont val="WenQuanYi Zen Hei"/>
        <family val="2"/>
      </rPr>
      <t xml:space="preserve">연도별 착공 원자료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비정비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아파트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비아파트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사업시행인가 후 착공 지연 구역 목록과 사유</t>
    </r>
  </si>
  <si>
    <r>
      <rPr>
        <sz val="10"/>
        <rFont val="WenQuanYi Zen Hei"/>
        <family val="2"/>
      </rPr>
      <t xml:space="preserve">도시재생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</t>
    </r>
  </si>
  <si>
    <r>
      <rPr>
        <sz val="10"/>
        <rFont val="WenQuanYi Zen Hei"/>
        <family val="2"/>
      </rPr>
      <t xml:space="preserve">도시재생활성화 </t>
    </r>
    <r>
      <rPr>
        <sz val="10"/>
        <rFont val="Arial"/>
        <family val="0"/>
        <charset val="1"/>
      </rPr>
      <t xml:space="preserve">9,110</t>
    </r>
    <r>
      <rPr>
        <sz val="10"/>
        <rFont val="WenQuanYi Zen Hei"/>
        <family val="2"/>
      </rPr>
      <t xml:space="preserve">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주거환경개선 </t>
    </r>
    <r>
      <rPr>
        <sz val="10"/>
        <rFont val="Arial"/>
        <family val="0"/>
        <charset val="1"/>
      </rPr>
      <t xml:space="preserve">1,850</t>
    </r>
    <r>
      <rPr>
        <sz val="10"/>
        <rFont val="WenQuanYi Zen Hei"/>
        <family val="2"/>
      </rPr>
      <t xml:space="preserve">억 </t>
    </r>
    <r>
      <rPr>
        <sz val="10"/>
        <rFont val="Arial"/>
        <family val="0"/>
        <charset val="1"/>
      </rPr>
      <t xml:space="preserve">= 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시민 혈세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상당수가 매몰비용</t>
    </r>
  </si>
  <si>
    <r>
      <rPr>
        <sz val="10"/>
        <rFont val="WenQuanYi Zen Hei"/>
        <family val="2"/>
      </rPr>
      <t xml:space="preserve">합산은 맞음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그러나 백서 스스로 매몰비용을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15%)</t>
    </r>
    <r>
      <rPr>
        <sz val="10"/>
        <rFont val="WenQuanYi Zen Hei"/>
        <family val="2"/>
      </rPr>
      <t xml:space="preserve">으로 제시 →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상당수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과장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도시재생에는 국비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도시재생 뉴딜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포함돼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시민 혈세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만으로 표현한 것도 부정확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도로</t>
    </r>
    <r>
      <rPr>
        <sz val="10"/>
        <rFont val="Arial"/>
        <family val="0"/>
        <charset val="1"/>
      </rPr>
      <t xml:space="preserve">·CCTV·</t>
    </r>
    <r>
      <rPr>
        <sz val="10"/>
        <rFont val="WenQuanYi Zen Hei"/>
        <family val="2"/>
      </rPr>
      <t xml:space="preserve">주민공동시설 등 존속 시설의 가치 미평가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</si>
  <si>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'② </t>
    </r>
    <r>
      <rPr>
        <sz val="10"/>
        <rFont val="WenQuanYi Zen Hei"/>
        <family val="2"/>
      </rPr>
      <t xml:space="preserve">시민혈세 대거투입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억원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그중 매몰비용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</si>
  <si>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사업별 국비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시비 내역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매몰비용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 산정 기준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존속 시설 현황</t>
    </r>
  </si>
  <si>
    <t xml:space="preserve">같은 땅에 두 번 세금</t>
  </si>
  <si>
    <t xml:space="preserve">재생 전환 후 정비사업으로 재추진되며 결과적으로 두 번 세금</t>
  </si>
  <si>
    <r>
      <rPr>
        <sz val="10"/>
        <rFont val="WenQuanYi Zen Hei"/>
        <family val="2"/>
      </rPr>
      <t xml:space="preserve">재추진 정비사업은 원칙적으로 조합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민간 사업비로 시행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세금 투입 아님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일부 기반시설 지원을 제외하면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두 번 세금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수사적 표현</t>
    </r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</si>
  <si>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p.4</t>
    </r>
  </si>
  <si>
    <t xml:space="preserve">재추진 구역에 재투입된 공공재정 내역</t>
  </si>
  <si>
    <r>
      <rPr>
        <sz val="10"/>
        <rFont val="WenQuanYi Zen Hei"/>
        <family val="2"/>
      </rPr>
      <t xml:space="preserve">주거정비지수제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신규지정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</si>
  <si>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2016~2020 5</t>
    </r>
    <r>
      <rPr>
        <sz val="10"/>
        <rFont val="WenQuanYi Zen Hei"/>
        <family val="2"/>
      </rPr>
      <t xml:space="preserve">년간 신규 재개발 지정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</si>
  <si>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주거정비지수제</t>
    </r>
    <r>
      <rPr>
        <sz val="10"/>
        <rFont val="Arial"/>
        <family val="0"/>
        <charset val="1"/>
      </rPr>
      <t xml:space="preserve">(2015 </t>
    </r>
    <r>
      <rPr>
        <sz val="10"/>
        <rFont val="WenQuanYi Zen Hei"/>
        <family val="2"/>
      </rPr>
      <t xml:space="preserve">정비기본계획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이후 신규 재개발 지정이 사실상 끊긴 것은 언론 보도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서울경제 </t>
    </r>
    <r>
      <rPr>
        <sz val="10"/>
        <rFont val="Arial"/>
        <family val="0"/>
        <charset val="1"/>
      </rPr>
      <t xml:space="preserve">2020.9 '6</t>
    </r>
    <r>
      <rPr>
        <sz val="10"/>
        <rFont val="WenQuanYi Zen Hei"/>
        <family val="2"/>
      </rPr>
      <t xml:space="preserve">년간 신규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')</t>
    </r>
    <r>
      <rPr>
        <sz val="10"/>
        <rFont val="WenQuanYi Zen Hei"/>
        <family val="2"/>
      </rPr>
      <t xml:space="preserve">로도 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사실관계는 대체로 맞음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재건축은 같은 기간 지정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추진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재건축 포함 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</si>
  <si>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서울경제</t>
    </r>
    <r>
      <rPr>
        <sz val="10"/>
        <rFont val="Arial"/>
        <family val="0"/>
        <charset val="1"/>
      </rPr>
      <t xml:space="preserve">(2020.9.15)</t>
    </r>
  </si>
  <si>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층 높이 규제</t>
    </r>
  </si>
  <si>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서울플랜 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층 규제로 은마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잠실</t>
    </r>
    <r>
      <rPr>
        <sz val="10"/>
        <rFont val="Arial"/>
        <family val="0"/>
        <charset val="1"/>
      </rPr>
      <t xml:space="preserve">5·</t>
    </r>
    <r>
      <rPr>
        <sz val="10"/>
        <rFont val="WenQuanYi Zen Hei"/>
        <family val="2"/>
      </rPr>
      <t xml:space="preserve">성수 등 사업 지연</t>
    </r>
  </si>
  <si>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서울플랜</t>
    </r>
    <r>
      <rPr>
        <sz val="10"/>
        <rFont val="Arial"/>
        <family val="0"/>
        <charset val="1"/>
      </rPr>
      <t xml:space="preserve">(2014) 35</t>
    </r>
    <r>
      <rPr>
        <sz val="10"/>
        <rFont val="WenQuanYi Zen Hei"/>
        <family val="2"/>
      </rPr>
      <t xml:space="preserve">층 규제는 사실이며 </t>
    </r>
    <r>
      <rPr>
        <sz val="10"/>
        <rFont val="Arial"/>
        <family val="0"/>
        <charset val="1"/>
      </rPr>
      <t xml:space="preserve">2023 2040 </t>
    </r>
    <r>
      <rPr>
        <sz val="10"/>
        <rFont val="WenQuanYi Zen Hei"/>
        <family val="2"/>
      </rPr>
      <t xml:space="preserve">서울플랜으로 폐지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은마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잠실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단지 지연에는 재건축초과이익환수제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안전진단 강화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중앙정부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조합 내부 갈등도 복합 작용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인터뷰는 </t>
    </r>
    <r>
      <rPr>
        <sz val="10"/>
        <rFont val="Arial"/>
        <family val="0"/>
        <charset val="1"/>
      </rPr>
      <t xml:space="preserve">2026.10 </t>
    </r>
    <r>
      <rPr>
        <sz val="10"/>
        <rFont val="WenQuanYi Zen Hei"/>
        <family val="2"/>
      </rPr>
      <t xml:space="preserve">조합장 위주로 수집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</si>
  <si>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규제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 세트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</si>
  <si>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각 단지 지연 사유 분석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심의 회차별 쟁점</t>
    </r>
    <r>
      <rPr>
        <sz val="10"/>
        <rFont val="Arial"/>
        <family val="0"/>
        <charset val="1"/>
      </rPr>
      <t xml:space="preserve">)</t>
    </r>
  </si>
  <si>
    <t xml:space="preserve">아파트 한 동 남기기</t>
  </si>
  <si>
    <t xml:space="preserve">충분한 의견수렴 없는 일방 보존 결정</t>
  </si>
  <si>
    <r>
      <rPr>
        <sz val="10"/>
        <rFont val="WenQuanYi Zen Hei"/>
        <family val="2"/>
      </rPr>
      <t xml:space="preserve">잠실주공</t>
    </r>
    <r>
      <rPr>
        <sz val="10"/>
        <rFont val="Arial"/>
        <family val="0"/>
        <charset val="1"/>
      </rPr>
      <t xml:space="preserve">5·</t>
    </r>
    <r>
      <rPr>
        <sz val="10"/>
        <rFont val="WenQuanYi Zen Hei"/>
        <family val="2"/>
      </rPr>
      <t xml:space="preserve">개포주공</t>
    </r>
    <r>
      <rPr>
        <sz val="10"/>
        <rFont val="Arial"/>
        <family val="0"/>
        <charset val="1"/>
      </rPr>
      <t xml:space="preserve">1·</t>
    </r>
    <r>
      <rPr>
        <sz val="10"/>
        <rFont val="WenQuanYi Zen Hei"/>
        <family val="2"/>
      </rPr>
      <t xml:space="preserve">반포주공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등 흔적남기기 결정은 사실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개포주공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등은 조합과 협의해 정비계획에 반영된 측면도 있어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강압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일방 주장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공사비 증가 수치는 조합장 인터뷰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정량 근거 없음</t>
    </r>
    <r>
      <rPr>
        <sz val="10"/>
        <rFont val="Arial"/>
        <family val="0"/>
        <charset val="1"/>
      </rPr>
      <t xml:space="preserve">)</t>
    </r>
  </si>
  <si>
    <t xml:space="preserve">백서 인터뷰 페이지</t>
  </si>
  <si>
    <r>
      <rPr>
        <sz val="10"/>
        <rFont val="WenQuanYi Zen Hei"/>
        <family val="2"/>
      </rPr>
      <t xml:space="preserve">흔적남기기 단지별 정비계획 결정 회의록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공사비 증가 근거</t>
    </r>
  </si>
  <si>
    <r>
      <rPr>
        <sz val="10"/>
        <rFont val="WenQuanYi Zen Hei"/>
        <family val="2"/>
      </rPr>
      <t xml:space="preserve">인구 </t>
    </r>
    <r>
      <rPr>
        <sz val="10"/>
        <rFont val="Arial"/>
        <family val="0"/>
        <charset val="1"/>
      </rPr>
      <t xml:space="preserve">-18%, </t>
    </r>
    <r>
      <rPr>
        <sz val="10"/>
        <rFont val="WenQuanYi Zen Hei"/>
        <family val="2"/>
      </rPr>
      <t xml:space="preserve">가구 </t>
    </r>
    <r>
      <rPr>
        <sz val="10"/>
        <rFont val="Arial"/>
        <family val="0"/>
        <charset val="1"/>
      </rPr>
      <t xml:space="preserve">+14%</t>
    </r>
  </si>
  <si>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년간 서울 거주인구 약 </t>
    </r>
    <r>
      <rPr>
        <sz val="10"/>
        <rFont val="Arial"/>
        <family val="0"/>
        <charset val="1"/>
      </rPr>
      <t xml:space="preserve">18% 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세대수 약 </t>
    </r>
    <r>
      <rPr>
        <sz val="10"/>
        <rFont val="Arial"/>
        <family val="0"/>
        <charset val="1"/>
      </rPr>
      <t xml:space="preserve">14% </t>
    </r>
    <r>
      <rPr>
        <sz val="10"/>
        <rFont val="WenQuanYi Zen Hei"/>
        <family val="2"/>
      </rPr>
      <t xml:space="preserve">증가</t>
    </r>
  </si>
  <si>
    <r>
      <rPr>
        <sz val="10"/>
        <rFont val="WenQuanYi Zen Hei"/>
        <family val="2"/>
      </rPr>
      <t xml:space="preserve">주민등록인구 기준 서울은 약 </t>
    </r>
    <r>
      <rPr>
        <sz val="10"/>
        <rFont val="Arial"/>
        <family val="0"/>
        <charset val="1"/>
      </rPr>
      <t xml:space="preserve">1,030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(2010)→930</t>
    </r>
    <r>
      <rPr>
        <sz val="10"/>
        <rFont val="WenQuanYi Zen Hei"/>
        <family val="2"/>
      </rPr>
      <t xml:space="preserve">만대</t>
    </r>
    <r>
      <rPr>
        <sz val="10"/>
        <rFont val="Arial"/>
        <family val="0"/>
        <charset val="1"/>
      </rPr>
      <t xml:space="preserve">(2025)</t>
    </r>
    <r>
      <rPr>
        <sz val="10"/>
        <rFont val="WenQuanYi Zen Hei"/>
        <family val="2"/>
      </rPr>
      <t xml:space="preserve">로 약 </t>
    </r>
    <r>
      <rPr>
        <sz val="10"/>
        <rFont val="Arial"/>
        <family val="0"/>
        <charset val="1"/>
      </rPr>
      <t xml:space="preserve">-9~10% </t>
    </r>
    <r>
      <rPr>
        <sz val="10"/>
        <rFont val="WenQuanYi Zen Hei"/>
        <family val="2"/>
      </rPr>
      <t xml:space="preserve">수준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백서 도표 </t>
    </r>
    <r>
      <rPr>
        <sz val="10"/>
        <rFont val="Arial"/>
        <family val="0"/>
        <charset val="1"/>
      </rPr>
      <t xml:space="preserve">'1,006</t>
    </r>
    <r>
      <rPr>
        <sz val="10"/>
        <rFont val="WenQuanYi Zen Hei"/>
        <family val="2"/>
      </rPr>
      <t xml:space="preserve">만→</t>
    </r>
    <r>
      <rPr>
        <sz val="10"/>
        <rFont val="Arial"/>
        <family val="0"/>
        <charset val="1"/>
      </rPr>
      <t xml:space="preserve">820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시점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추계 포함 여부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불명확</t>
    </r>
    <r>
      <rPr>
        <sz val="10"/>
        <rFont val="Arial"/>
        <family val="0"/>
        <charset val="1"/>
      </rPr>
      <t xml:space="preserve">. '15</t>
    </r>
    <r>
      <rPr>
        <sz val="10"/>
        <rFont val="WenQuanYi Zen Hei"/>
        <family val="2"/>
      </rPr>
      <t xml:space="preserve">년간 </t>
    </r>
    <r>
      <rPr>
        <sz val="10"/>
        <rFont val="Arial"/>
        <family val="0"/>
        <charset val="1"/>
      </rPr>
      <t xml:space="preserve">-18%'</t>
    </r>
    <r>
      <rPr>
        <sz val="10"/>
        <rFont val="WenQuanYi Zen Hei"/>
        <family val="2"/>
      </rPr>
      <t xml:space="preserve">는 오류 가능성이 높음</t>
    </r>
  </si>
  <si>
    <t xml:space="preserve">오류 의심</t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</si>
  <si>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서울은 어떤 도시인가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도표</t>
    </r>
  </si>
  <si>
    <r>
      <rPr>
        <sz val="10"/>
        <rFont val="WenQuanYi Zen Hei"/>
        <family val="2"/>
      </rPr>
      <t xml:space="preserve">인구 수치 출처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기준연도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주민등록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센서스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장래추계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</si>
  <si>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노후주택 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만호</t>
    </r>
  </si>
  <si>
    <r>
      <rPr>
        <sz val="10"/>
        <rFont val="WenQuanYi Zen Hei"/>
        <family val="2"/>
      </rPr>
      <t xml:space="preserve">향후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내 정비가 필요한 노후주택 약 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만호</t>
    </r>
  </si>
  <si>
    <r>
      <rPr>
        <sz val="10"/>
        <rFont val="WenQuanYi Zen Hei"/>
        <family val="2"/>
      </rPr>
      <t xml:space="preserve">현재 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+10</t>
    </r>
    <r>
      <rPr>
        <sz val="10"/>
        <rFont val="WenQuanYi Zen Hei"/>
        <family val="2"/>
      </rPr>
      <t xml:space="preserve">년 후 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(30</t>
    </r>
    <r>
      <rPr>
        <sz val="10"/>
        <rFont val="WenQuanYi Zen Hei"/>
        <family val="2"/>
      </rPr>
      <t xml:space="preserve">년 이상 경과 추정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보임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노후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정비 필요가 아니며 리모델링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유지관리 대상 포함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수요 과장 소지</t>
    </r>
  </si>
  <si>
    <t xml:space="preserve">검증 필요</t>
  </si>
  <si>
    <t xml:space="preserve">백서 도표</t>
  </si>
  <si>
    <r>
      <rPr>
        <sz val="10"/>
        <rFont val="WenQuanYi Zen Hei"/>
        <family val="2"/>
      </rPr>
      <t xml:space="preserve">노후 기준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경과연수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산정 방식</t>
    </r>
  </si>
  <si>
    <r>
      <rPr>
        <sz val="10"/>
        <rFont val="WenQuanYi Zen Hei"/>
        <family val="2"/>
      </rPr>
      <t xml:space="preserve">청년안심주택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공공임대 성과의 귀속</t>
    </r>
  </si>
  <si>
    <r>
      <rPr>
        <sz val="10"/>
        <rFont val="WenQuanYi Zen Hei"/>
        <family val="2"/>
      </rPr>
      <t xml:space="preserve">청년안심주택 </t>
    </r>
    <r>
      <rPr>
        <sz val="10"/>
        <rFont val="Arial"/>
        <family val="0"/>
        <charset val="1"/>
      </rPr>
      <t xml:space="preserve">3.5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공공임대 누계 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만호를 현 시정 성과로 제시</t>
    </r>
  </si>
  <si>
    <r>
      <rPr>
        <sz val="10"/>
        <rFont val="WenQuanYi Zen Hei"/>
        <family val="2"/>
      </rPr>
      <t xml:space="preserve">청년안심주택의 전신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역세권 청년주택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년 박원순 시정이 도입</t>
    </r>
    <r>
      <rPr>
        <sz val="10"/>
        <rFont val="Arial"/>
        <family val="0"/>
        <charset val="1"/>
      </rPr>
      <t xml:space="preserve">(2022 </t>
    </r>
    <r>
      <rPr>
        <sz val="10"/>
        <rFont val="WenQuanYi Zen Hei"/>
        <family val="2"/>
      </rPr>
      <t xml:space="preserve">명칭 변경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공공임대 누계 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만호도 박원순 시정기 대량 공급분 포함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과거 정책을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실패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규정하면서 그 성과는 현 시정 성과로 합산하는 이중 회계</t>
    </r>
  </si>
  <si>
    <t xml:space="preserve">자기모순</t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</si>
  <si>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민간의 역량을 활용해 청년의 주거안정을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페이지</t>
    </r>
  </si>
  <si>
    <r>
      <rPr>
        <sz val="10"/>
        <rFont val="WenQuanYi Zen Hei"/>
        <family val="2"/>
      </rPr>
      <t xml:space="preserve">청년안심주택 연도별 사업승인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</t>
    </r>
    <r>
      <rPr>
        <sz val="10"/>
        <rFont val="Arial"/>
        <family val="0"/>
        <charset val="1"/>
      </rPr>
      <t xml:space="preserve">(2016~), </t>
    </r>
    <r>
      <rPr>
        <sz val="10"/>
        <rFont val="WenQuanYi Zen Hei"/>
        <family val="2"/>
      </rPr>
      <t xml:space="preserve">공공임대 연도별 재고</t>
    </r>
  </si>
  <si>
    <t xml:space="preserve">박원순 임기 중 실제 공급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</si>
  <si>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) '</t>
    </r>
    <r>
      <rPr>
        <sz val="10"/>
        <rFont val="WenQuanYi Zen Hei"/>
        <family val="2"/>
      </rPr>
      <t xml:space="preserve">오시장은 구역지정만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실제는 박시장 임기 중 공급이 많았다는데…</t>
    </r>
    <r>
      <rPr>
        <sz val="10"/>
        <rFont val="Arial"/>
        <family val="0"/>
        <charset val="1"/>
      </rPr>
      <t xml:space="preserve">' → </t>
    </r>
    <r>
      <rPr>
        <sz val="10"/>
        <rFont val="WenQuanYi Zen Hei"/>
        <family val="2"/>
      </rPr>
      <t xml:space="preserve">박시장 임기 내 인허가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준공의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는 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지정 구역</t>
    </r>
  </si>
  <si>
    <r>
      <rPr>
        <sz val="10"/>
        <rFont val="WenQuanYi Zen Hei"/>
        <family val="2"/>
      </rPr>
      <t xml:space="preserve">백서 스스로 박원순 재임기 실공급이 많았음을 인정한 셈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같은 논리라면 현재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착공 부진도 일정 부분 오세훈 재임 중 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시장관리의 결과</t>
    </r>
    <r>
      <rPr>
        <sz val="10"/>
        <rFont val="Arial"/>
        <family val="0"/>
        <charset val="1"/>
      </rPr>
      <t xml:space="preserve">. '</t>
    </r>
    <r>
      <rPr>
        <sz val="10"/>
        <rFont val="WenQuanYi Zen Hei"/>
        <family val="2"/>
      </rPr>
      <t xml:space="preserve">공급은 앞 시장 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부진은 앞 시장 탓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비대칭 귀속</t>
    </r>
  </si>
  <si>
    <t xml:space="preserve">백서 시사점 페이지</t>
  </si>
  <si>
    <r>
      <rPr>
        <sz val="10"/>
        <rFont val="WenQuanYi Zen Hei"/>
        <family val="2"/>
      </rPr>
      <t xml:space="preserve">시장 재임기별 인허가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 원자료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</si>
  <si>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</si>
  <si>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보도자료 표현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구조</t>
    </r>
  </si>
  <si>
    <t xml:space="preserve">문제점</t>
  </si>
  <si>
    <r>
      <rPr>
        <b val="true"/>
        <sz val="10"/>
        <color rgb="FFFFFFFF"/>
        <rFont val="WenQuanYi Zen Hei"/>
        <family val="2"/>
      </rPr>
      <t xml:space="preserve">보완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수정 제안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문구 예시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</si>
  <si>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중요도</t>
  </si>
  <si>
    <t xml:space="preserve">지표 혼용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</si>
  <si>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정비구역 지정 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곳→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신통 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·30.7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', '60</t>
    </r>
    <r>
      <rPr>
        <sz val="10"/>
        <rFont val="WenQuanYi Zen Hei"/>
        <family val="2"/>
      </rPr>
      <t xml:space="preserve">만호 공급실현 가시화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</si>
  <si>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구역지정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계획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숫자를 공급 성과처럼 제시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보도자료</t>
    </r>
    <r>
      <rPr>
        <sz val="10"/>
        <rFont val="Arial"/>
        <family val="0"/>
        <charset val="1"/>
      </rPr>
      <t xml:space="preserve">(172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백서</t>
    </r>
    <r>
      <rPr>
        <sz val="10"/>
        <rFont val="Arial"/>
        <family val="0"/>
        <charset val="1"/>
      </rPr>
      <t xml:space="preserve">(214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집계 기준도 다름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준공과 구분 없음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</si>
  <si>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구역지정 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계획세대 ○만호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중 착공 ○곳</t>
    </r>
    <r>
      <rPr>
        <sz val="10"/>
        <rFont val="Arial"/>
        <family val="0"/>
        <charset val="1"/>
      </rPr>
      <t xml:space="preserve">·○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준공 ○곳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처럼 단계별 전환율을 함께 제시</t>
    </r>
  </si>
  <si>
    <t xml:space="preserve">상</t>
  </si>
  <si>
    <t xml:space="preserve">인과 비약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</si>
  <si>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전 해제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지정 위축의 충격이 지금 공급절벽으로 현실화</t>
    </r>
  </si>
  <si>
    <r>
      <rPr>
        <sz val="10"/>
        <rFont val="WenQuanYi Zen Hei"/>
        <family val="2"/>
      </rPr>
      <t xml:space="preserve">착공 감소의 시장 요인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·PF·</t>
    </r>
    <r>
      <rPr>
        <sz val="10"/>
        <rFont val="WenQuanYi Zen Hei"/>
        <family val="2"/>
      </rPr>
      <t xml:space="preserve">공사비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분담금 분쟁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비아파트에만 적용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사업시행인가가 늘었는데 착공이 준 사실과 모순</t>
    </r>
  </si>
  <si>
    <r>
      <rPr>
        <sz val="10"/>
        <rFont val="WenQuanYi Zen Hei"/>
        <family val="2"/>
      </rPr>
      <t xml:space="preserve">착공 감소 요인을 정책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지정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시장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공사비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사업장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분쟁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요인으로 분해한 분석 제시</t>
    </r>
  </si>
  <si>
    <t xml:space="preserve">기간 귀속 비대칭</t>
  </si>
  <si>
    <r>
      <rPr>
        <sz val="10"/>
        <rFont val="Arial"/>
        <family val="0"/>
        <charset val="1"/>
      </rPr>
      <t xml:space="preserve">16~20 </t>
    </r>
    <r>
      <rPr>
        <sz val="10"/>
        <rFont val="WenQuanYi Zen Hei"/>
        <family val="2"/>
      </rPr>
      <t xml:space="preserve">착공 </t>
    </r>
    <r>
      <rPr>
        <sz val="10"/>
        <rFont val="Arial"/>
        <family val="0"/>
        <charset val="1"/>
      </rPr>
      <t xml:space="preserve">2.9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박</t>
    </r>
    <r>
      <rPr>
        <sz val="10"/>
        <rFont val="Arial"/>
        <family val="0"/>
        <charset val="1"/>
      </rPr>
      <t xml:space="preserve">), 21~25 1.5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박원순 탓으로 귀결</t>
    </r>
  </si>
  <si>
    <r>
      <rPr>
        <sz val="10"/>
        <rFont val="WenQuanYi Zen Hei"/>
        <family val="2"/>
      </rPr>
      <t xml:space="preserve">자기 재임기 실적 부진을 전임자 탓으로 돌리면서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전임기 실적은 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덕으로 귀속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70% </t>
    </r>
    <r>
      <rPr>
        <sz val="10"/>
        <rFont val="WenQuanYi Zen Hei"/>
        <family val="2"/>
      </rPr>
      <t xml:space="preserve">주장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</si>
  <si>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시장별 재임기 실적과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정책 결정 시점 기준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실적을 같은 표에 병기</t>
    </r>
  </si>
  <si>
    <t xml:space="preserve">과장 수사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</si>
  <si>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붕괴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매몰된 혈세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말살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무자비한 해제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암흑기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</si>
  <si>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행정기관 보도자료로서 부적절한 정치적 수사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공무원 정치적 중립 논란 소지</t>
    </r>
  </si>
  <si>
    <r>
      <rPr>
        <sz val="10"/>
        <rFont val="WenQuanYi Zen Hei"/>
        <family val="2"/>
      </rPr>
      <t xml:space="preserve">중립적 용어로 교체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'</t>
    </r>
    <r>
      <rPr>
        <sz val="10"/>
        <rFont val="WenQuanYi Zen Hei"/>
        <family val="2"/>
      </rPr>
      <t xml:space="preserve">정비구역 대규모 해제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도시재생 투입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중 매몰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')</t>
    </r>
  </si>
  <si>
    <t xml:space="preserve">중</t>
  </si>
  <si>
    <t xml:space="preserve">수치 과장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</si>
  <si>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중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상당수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가 매몰비용</t>
    </r>
  </si>
  <si>
    <r>
      <rPr>
        <sz val="10"/>
        <rFont val="WenQuanYi Zen Hei"/>
        <family val="2"/>
      </rPr>
      <t xml:space="preserve">백서상 매몰비용은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15%)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</si>
  <si>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투입액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중 약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(15%)</t>
    </r>
    <r>
      <rPr>
        <sz val="10"/>
        <rFont val="WenQuanYi Zen Hei"/>
        <family val="2"/>
      </rPr>
      <t xml:space="preserve">이 매몰비용으로 처리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정정</t>
    </r>
  </si>
  <si>
    <t xml:space="preserve">근거 미공개</t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</si>
  <si>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공급기회 상실</t>
    </r>
  </si>
  <si>
    <r>
      <rPr>
        <sz val="10"/>
        <rFont val="WenQuanYi Zen Hei"/>
        <family val="2"/>
      </rPr>
      <t xml:space="preserve">산정 방식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계획 시점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순증 여부 미공개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계획물량을 상실 물량으로 표기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</si>
  <si>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해제 구역 계획세대 합계 약 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기존주택 멸실 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순증 아님</t>
    </r>
    <r>
      <rPr>
        <sz val="10"/>
        <rFont val="Arial"/>
        <family val="0"/>
        <charset val="1"/>
      </rPr>
      <t xml:space="preserve">)'</t>
    </r>
    <r>
      <rPr>
        <sz val="10"/>
        <rFont val="WenQuanYi Zen Hei"/>
        <family val="2"/>
      </rPr>
      <t xml:space="preserve">로 정의 명시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산정표 공개</t>
    </r>
  </si>
  <si>
    <t xml:space="preserve">일반화</t>
  </si>
  <si>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B 264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(68%) </t>
    </r>
    <r>
      <rPr>
        <sz val="10"/>
        <rFont val="WenQuanYi Zen Hei"/>
        <family val="2"/>
      </rPr>
      <t xml:space="preserve">절차 부실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</si>
  <si>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곳 안팎 사례로 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곳 전체를 부실로 일반화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</si>
  <si>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의견조사 거친 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곳 중 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위법 확인 ○곳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한정</t>
    </r>
  </si>
  <si>
    <t xml:space="preserve">표본 편향</t>
  </si>
  <si>
    <r>
      <rPr>
        <sz val="10"/>
        <rFont val="WenQuanYi Zen Hei"/>
        <family val="2"/>
      </rPr>
      <t xml:space="preserve">주민 인터뷰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조합장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조합이사 중심</t>
    </r>
    <r>
      <rPr>
        <sz val="10"/>
        <rFont val="Arial"/>
        <family val="0"/>
        <charset val="1"/>
      </rPr>
      <t xml:space="preserve">, 2026.10 </t>
    </r>
    <r>
      <rPr>
        <sz val="10"/>
        <rFont val="WenQuanYi Zen Hei"/>
        <family val="2"/>
      </rPr>
      <t xml:space="preserve">수집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</si>
  <si>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해제를 원했던 주민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세입자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비대위 측 의견 부재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국감 직전 수집</t>
    </r>
  </si>
  <si>
    <r>
      <rPr>
        <sz val="10"/>
        <rFont val="WenQuanYi Zen Hei"/>
        <family val="2"/>
      </rPr>
      <t xml:space="preserve">해제 찬성 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세입자 인터뷰 병기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인터뷰 선정 기준 공개</t>
    </r>
  </si>
  <si>
    <t xml:space="preserve">통계 오류</t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</si>
  <si>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년간 인구 </t>
    </r>
    <r>
      <rPr>
        <sz val="10"/>
        <rFont val="Arial"/>
        <family val="0"/>
        <charset val="1"/>
      </rPr>
      <t xml:space="preserve">-18%</t>
    </r>
  </si>
  <si>
    <r>
      <rPr>
        <sz val="10"/>
        <rFont val="WenQuanYi Zen Hei"/>
        <family val="2"/>
      </rPr>
      <t xml:space="preserve">주민등록 기준 약 </t>
    </r>
    <r>
      <rPr>
        <sz val="10"/>
        <rFont val="Arial"/>
        <family val="0"/>
        <charset val="1"/>
      </rPr>
      <t xml:space="preserve">-9~10%</t>
    </r>
    <r>
      <rPr>
        <sz val="10"/>
        <rFont val="WenQuanYi Zen Hei"/>
        <family val="2"/>
      </rPr>
      <t xml:space="preserve">로 추정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기준 불명확</t>
    </r>
  </si>
  <si>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기준연도 명시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수치 재확인 후 정정</t>
    </r>
  </si>
  <si>
    <t xml:space="preserve">이중 기준</t>
  </si>
  <si>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2011 </t>
    </r>
    <r>
      <rPr>
        <sz val="10"/>
        <rFont val="WenQuanYi Zen Hei"/>
        <family val="2"/>
      </rPr>
      <t xml:space="preserve">해제는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재산권 회복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박원순 해제는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 단절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</si>
  <si>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동일 제도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해제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대한 평가 기준이 시장에 따라 달라짐</t>
    </r>
  </si>
  <si>
    <r>
      <rPr>
        <sz val="10"/>
        <rFont val="WenQuanYi Zen Hei"/>
        <family val="2"/>
      </rPr>
      <t xml:space="preserve">해제 구역별 사업단계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주민의사 기준을 동일하게 적용한 평가표</t>
    </r>
  </si>
  <si>
    <t xml:space="preserve">책임 누락</t>
  </si>
  <si>
    <r>
      <rPr>
        <sz val="10"/>
        <rFont val="WenQuanYi Zen Hei"/>
        <family val="2"/>
      </rPr>
      <t xml:space="preserve">뉴타운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성공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해제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실패 구도</t>
    </r>
  </si>
  <si>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개 구역 추가지정과 금융위기 이후 사업 정체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주민갈등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매몰비용 문제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해제 요구의 원인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성찰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대상에서 제외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</si>
  <si>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과잉 지정과 사업성 악화가 해제 수요를 만든 측면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성찰 항목에 포함</t>
    </r>
  </si>
  <si>
    <t xml:space="preserve">성과 귀속 모순</t>
  </si>
  <si>
    <r>
      <rPr>
        <sz val="10"/>
        <rFont val="WenQuanYi Zen Hei"/>
        <family val="2"/>
      </rPr>
      <t xml:space="preserve">청년안심주택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공공임대 누계 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만호를 현 시정 성과로</t>
    </r>
  </si>
  <si>
    <r>
      <rPr>
        <sz val="10"/>
        <rFont val="WenQuanYi Zen Hei"/>
        <family val="2"/>
      </rPr>
      <t xml:space="preserve">박원순 시정 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공급분 포함</t>
    </r>
  </si>
  <si>
    <r>
      <rPr>
        <sz val="10"/>
        <rFont val="WenQuanYi Zen Hei"/>
        <family val="2"/>
      </rPr>
      <t xml:space="preserve">도입 시점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시정별 공급량 구분 표기</t>
    </r>
  </si>
  <si>
    <t xml:space="preserve">목표 신뢰성</t>
  </si>
  <si>
    <r>
      <rPr>
        <sz val="10"/>
        <rFont val="Arial"/>
        <family val="0"/>
        <charset val="1"/>
      </rPr>
      <t xml:space="preserve">2031</t>
    </r>
    <r>
      <rPr>
        <sz val="10"/>
        <rFont val="WenQuanYi Zen Hei"/>
        <family val="2"/>
      </rPr>
      <t xml:space="preserve">년까지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만호 착공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만호 착공</t>
    </r>
  </si>
  <si>
    <r>
      <rPr>
        <sz val="10"/>
        <rFont val="WenQuanYi Zen Hei"/>
        <family val="2"/>
      </rPr>
      <t xml:space="preserve">과거 목표 대비 달성률 미제시</t>
    </r>
    <r>
      <rPr>
        <sz val="10"/>
        <rFont val="Arial"/>
        <family val="0"/>
        <charset val="1"/>
      </rPr>
      <t xml:space="preserve">. 2026 '3</t>
    </r>
    <r>
      <rPr>
        <sz val="10"/>
        <rFont val="WenQuanYi Zen Hei"/>
        <family val="2"/>
      </rPr>
      <t xml:space="preserve">만호 착공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목표 대비 국감 시점 실적 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 시장 답변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</si>
  <si>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기존 공급목표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민선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기 목표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대비 연도별 달성률 공개</t>
    </r>
  </si>
  <si>
    <t xml:space="preserve">외부요인 누락</t>
  </si>
  <si>
    <r>
      <rPr>
        <sz val="10"/>
        <rFont val="WenQuanYi Zen Hei"/>
        <family val="2"/>
      </rPr>
      <t xml:space="preserve">규제완화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사업성 개선 → 공급 확대</t>
    </r>
  </si>
  <si>
    <r>
      <rPr>
        <sz val="10"/>
        <rFont val="WenQuanYi Zen Hei"/>
        <family val="2"/>
      </rPr>
      <t xml:space="preserve">정부 대출규제</t>
    </r>
    <r>
      <rPr>
        <sz val="10"/>
        <rFont val="Arial"/>
        <family val="0"/>
        <charset val="1"/>
      </rPr>
      <t xml:space="preserve">(6.27, 10.15 </t>
    </r>
    <r>
      <rPr>
        <sz val="10"/>
        <rFont val="WenQuanYi Zen Hei"/>
        <family val="2"/>
      </rPr>
      <t xml:space="preserve">대책 등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토지거래허가구역 확대 등 정책 환경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공사비 상승 미반영</t>
    </r>
  </si>
  <si>
    <r>
      <rPr>
        <sz val="10"/>
        <rFont val="WenQuanYi Zen Hei"/>
        <family val="2"/>
      </rPr>
      <t xml:space="preserve">시나리오별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공사비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착공 전망 제시</t>
    </r>
  </si>
  <si>
    <r>
      <rPr>
        <b val="true"/>
        <sz val="10"/>
        <color rgb="FFFFFFFF"/>
        <rFont val="WenQuanYi Zen Hei"/>
        <family val="2"/>
      </rPr>
      <t xml:space="preserve">정책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분야</t>
    </r>
  </si>
  <si>
    <r>
      <rPr>
        <b val="true"/>
        <sz val="10"/>
        <color rgb="FFFFFFFF"/>
        <rFont val="WenQuanYi Zen Hei"/>
        <family val="2"/>
      </rPr>
      <t xml:space="preserve">현황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서울시 주장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</si>
  <si>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사례</t>
    </r>
  </si>
  <si>
    <t xml:space="preserve">보도자료가 가리는 지점</t>
  </si>
  <si>
    <r>
      <rPr>
        <b val="true"/>
        <sz val="10"/>
        <color rgb="FFFFFFFF"/>
        <rFont val="WenQuanYi Zen Hei"/>
        <family val="2"/>
      </rPr>
      <t xml:space="preserve">국감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행감 질의 포인트</t>
    </r>
  </si>
  <si>
    <r>
      <rPr>
        <sz val="10"/>
        <rFont val="WenQuanYi Zen Hei"/>
        <family val="2"/>
      </rPr>
      <t xml:space="preserve">집값 관리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토지거래허가구역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</si>
  <si>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서울 집값 핵심은 공급 불확실성</t>
    </r>
    <r>
      <rPr>
        <sz val="10"/>
        <rFont val="Arial"/>
        <family val="0"/>
        <charset val="1"/>
      </rPr>
      <t xml:space="preserve">'(2026 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</si>
  <si>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2025.2.12 </t>
    </r>
    <r>
      <rPr>
        <sz val="10"/>
        <rFont val="WenQuanYi Zen Hei"/>
        <family val="2"/>
      </rPr>
      <t xml:space="preserve">잠실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삼성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청담 토허구역 해제 → 강남권 갭투자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급등 → 한 달여 만에 강남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용산 전역 재지정</t>
    </r>
    <r>
      <rPr>
        <sz val="10"/>
        <rFont val="Arial"/>
        <family val="0"/>
        <charset val="1"/>
      </rPr>
      <t xml:space="preserve">(3.24). </t>
    </r>
    <r>
      <rPr>
        <sz val="10"/>
        <rFont val="WenQuanYi Zen Hei"/>
        <family val="2"/>
      </rPr>
      <t xml:space="preserve">오 시장 스스로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유일한 부동산 실책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 언급</t>
    </r>
    <r>
      <rPr>
        <sz val="10"/>
        <rFont val="Arial"/>
        <family val="0"/>
        <charset val="1"/>
      </rPr>
      <t xml:space="preserve">(2026.5)</t>
    </r>
    <r>
      <rPr>
        <sz val="10"/>
        <rFont val="WenQuanYi Zen Hei"/>
        <family val="2"/>
      </rPr>
      <t xml:space="preserve">하면서도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해프닝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민주당 프레임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 반박</t>
    </r>
  </si>
  <si>
    <r>
      <rPr>
        <sz val="10"/>
        <rFont val="Arial"/>
        <family val="0"/>
        <charset val="1"/>
      </rPr>
      <t xml:space="preserve">MTN(2025.3.19), </t>
    </r>
    <r>
      <rPr>
        <sz val="10"/>
        <rFont val="WenQuanYi Zen Hei"/>
        <family val="2"/>
      </rPr>
      <t xml:space="preserve">뉴시스</t>
    </r>
    <r>
      <rPr>
        <sz val="10"/>
        <rFont val="Arial"/>
        <family val="0"/>
        <charset val="1"/>
      </rPr>
      <t xml:space="preserve">(2025.3.20~21), </t>
    </r>
    <r>
      <rPr>
        <sz val="10"/>
        <rFont val="WenQuanYi Zen Hei"/>
        <family val="2"/>
      </rPr>
      <t xml:space="preserve">헤럴드</t>
    </r>
    <r>
      <rPr>
        <sz val="10"/>
        <rFont val="Arial"/>
        <family val="0"/>
        <charset val="1"/>
      </rPr>
      <t xml:space="preserve">(2026.5.10)</t>
    </r>
  </si>
  <si>
    <r>
      <rPr>
        <sz val="10"/>
        <rFont val="WenQuanYi Zen Hei"/>
        <family val="2"/>
      </rPr>
      <t xml:space="preserve">집값 상승 원인을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과거 공급 단절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돌려 토허제 실책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 시정 시장관리 책임 희석</t>
    </r>
  </si>
  <si>
    <r>
      <rPr>
        <sz val="10"/>
        <rFont val="WenQuanYi Zen Hei"/>
        <family val="2"/>
      </rPr>
      <t xml:space="preserve">토허제 해제 결정 과정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내부 검토문서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부동산시장 분석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해제기간 거래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변동 분석자료</t>
    </r>
  </si>
  <si>
    <t xml:space="preserve">정비사업 착공 실적</t>
  </si>
  <si>
    <r>
      <rPr>
        <sz val="10"/>
        <rFont val="WenQuanYi Zen Hei"/>
        <family val="2"/>
      </rPr>
      <t xml:space="preserve">올해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천호 착공</t>
    </r>
    <r>
      <rPr>
        <sz val="10"/>
        <rFont val="Arial"/>
        <family val="0"/>
        <charset val="1"/>
      </rPr>
      <t xml:space="preserve">, 31</t>
    </r>
    <r>
      <rPr>
        <sz val="10"/>
        <rFont val="WenQuanYi Zen Hei"/>
        <family val="2"/>
      </rPr>
      <t xml:space="preserve">년까지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만호 착공</t>
    </r>
  </si>
  <si>
    <r>
      <rPr>
        <sz val="10"/>
        <rFont val="WenQuanYi Zen Hei"/>
        <family val="2"/>
      </rPr>
      <t xml:space="preserve">본인 재임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(21~25) </t>
    </r>
    <r>
      <rPr>
        <sz val="10"/>
        <rFont val="WenQuanYi Zen Hei"/>
        <family val="2"/>
      </rPr>
      <t xml:space="preserve">착공 연 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만호로 박원순 재임기</t>
    </r>
    <r>
      <rPr>
        <sz val="10"/>
        <rFont val="Arial"/>
        <family val="0"/>
        <charset val="1"/>
      </rPr>
      <t xml:space="preserve">(2.9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절반</t>
    </r>
    <r>
      <rPr>
        <sz val="10"/>
        <rFont val="Arial"/>
        <family val="0"/>
        <charset val="1"/>
      </rPr>
      <t xml:space="preserve">. 2026 '3</t>
    </r>
    <r>
      <rPr>
        <sz val="10"/>
        <rFont val="WenQuanYi Zen Hei"/>
        <family val="2"/>
      </rPr>
      <t xml:space="preserve">만호 착공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목표 대비 국감 시점 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일부 매체는 </t>
    </r>
    <r>
      <rPr>
        <sz val="10"/>
        <rFont val="Arial"/>
        <family val="0"/>
        <charset val="1"/>
      </rPr>
      <t xml:space="preserve">1.1</t>
    </r>
    <r>
      <rPr>
        <sz val="10"/>
        <rFont val="WenQuanYi Zen Hei"/>
        <family val="2"/>
      </rPr>
      <t xml:space="preserve">만호로 보도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수치 혼선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</si>
  <si>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p.4, </t>
    </r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아주경제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중앙이코노미뉴스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일요시사</t>
    </r>
    <r>
      <rPr>
        <sz val="10"/>
        <rFont val="Arial"/>
        <family val="0"/>
        <charset val="1"/>
      </rPr>
      <t xml:space="preserve">(2026.10.15)</t>
    </r>
  </si>
  <si>
    <t xml:space="preserve">착공 부진을 박원순 탓으로 귀속</t>
  </si>
  <si>
    <r>
      <rPr>
        <sz val="10"/>
        <rFont val="Arial"/>
        <family val="0"/>
        <charset val="1"/>
      </rPr>
      <t xml:space="preserve">2021~2026 </t>
    </r>
    <r>
      <rPr>
        <sz val="10"/>
        <rFont val="WenQuanYi Zen Hei"/>
        <family val="2"/>
      </rPr>
      <t xml:space="preserve">연도별 착공 목표 대비 실적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착공 수치 집계 기준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착공신고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착공계</t>
    </r>
    <r>
      <rPr>
        <sz val="10"/>
        <rFont val="Arial"/>
        <family val="0"/>
        <charset val="1"/>
      </rPr>
      <t xml:space="preserve">)</t>
    </r>
  </si>
  <si>
    <t xml:space="preserve">신속통합기획</t>
  </si>
  <si>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·30.7</t>
    </r>
    <r>
      <rPr>
        <sz val="10"/>
        <rFont val="WenQuanYi Zen Hei"/>
        <family val="2"/>
      </rPr>
      <t xml:space="preserve">만호 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신통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으로 기간 단축</t>
    </r>
  </si>
  <si>
    <r>
      <rPr>
        <sz val="10"/>
        <rFont val="WenQuanYi Zen Hei"/>
        <family val="2"/>
      </rPr>
      <t xml:space="preserve">후보지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기획 단계 숫자 위주 홍보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정비구역 지정→사업시행인가→착공 전환율 미공개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높이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용적률 완화에 따른 공공기여 축소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한강변 경관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일조 문제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시의회 민주당이 행감 중점 검증 대상으로 선정</t>
    </r>
  </si>
  <si>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아이뉴스</t>
    </r>
    <r>
      <rPr>
        <sz val="10"/>
        <rFont val="Arial"/>
        <family val="0"/>
        <charset val="1"/>
      </rPr>
      <t xml:space="preserve">24(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행감 검증 예고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</si>
  <si>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구역지정</t>
    </r>
    <r>
      <rPr>
        <sz val="10"/>
        <rFont val="Arial"/>
        <family val="0"/>
        <charset val="1"/>
      </rPr>
      <t xml:space="preserve">=</t>
    </r>
    <r>
      <rPr>
        <sz val="10"/>
        <rFont val="WenQuanYi Zen Hei"/>
        <family val="2"/>
      </rPr>
      <t xml:space="preserve">공급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착시로 실착공 부진 은폐</t>
    </r>
  </si>
  <si>
    <r>
      <rPr>
        <sz val="10"/>
        <rFont val="WenQuanYi Zen Hei"/>
        <family val="2"/>
      </rPr>
      <t xml:space="preserve">신통 후보지별 단계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착공 여부 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철회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중단 구역과 사유</t>
    </r>
  </si>
  <si>
    <r>
      <rPr>
        <sz val="10"/>
        <rFont val="WenQuanYi Zen Hei"/>
        <family val="2"/>
      </rPr>
      <t xml:space="preserve">모아주택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모아타운</t>
    </r>
  </si>
  <si>
    <r>
      <rPr>
        <sz val="10"/>
        <rFont val="Arial"/>
        <family val="0"/>
        <charset val="1"/>
      </rPr>
      <t xml:space="preserve">168</t>
    </r>
    <r>
      <rPr>
        <sz val="10"/>
        <rFont val="WenQuanYi Zen Hei"/>
        <family val="2"/>
      </rPr>
      <t xml:space="preserve">곳 조합설립</t>
    </r>
    <r>
      <rPr>
        <sz val="10"/>
        <rFont val="Arial"/>
        <family val="0"/>
        <charset val="1"/>
      </rPr>
      <t xml:space="preserve">·4.3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목표의 </t>
    </r>
    <r>
      <rPr>
        <sz val="10"/>
        <rFont val="Arial"/>
        <family val="0"/>
        <charset val="1"/>
      </rPr>
      <t xml:space="preserve">145%</t>
    </r>
  </si>
  <si>
    <r>
      <rPr>
        <sz val="10"/>
        <rFont val="WenQuanYi Zen Hei"/>
        <family val="2"/>
      </rPr>
      <t xml:space="preserve">조합설립 기준 실적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첫 준공은 </t>
    </r>
    <r>
      <rPr>
        <sz val="10"/>
        <rFont val="Arial"/>
        <family val="0"/>
        <charset val="1"/>
      </rPr>
      <t xml:space="preserve">2026.8 </t>
    </r>
    <r>
      <rPr>
        <sz val="10"/>
        <rFont val="WenQuanYi Zen Hei"/>
        <family val="2"/>
      </rPr>
      <t xml:space="preserve">광진구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(99</t>
    </r>
    <r>
      <rPr>
        <sz val="10"/>
        <rFont val="WenQuanYi Zen Hei"/>
        <family val="2"/>
      </rPr>
      <t xml:space="preserve">가구→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가구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수준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지분 쪼개기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투기 우려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반대 주민과의 갈등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소규모 사업으로 기반시설 확보 한계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시의회 행감 중점 대상</t>
    </r>
  </si>
  <si>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, 2026.10 </t>
    </r>
    <r>
      <rPr>
        <sz val="10"/>
        <rFont val="WenQuanYi Zen Hei"/>
        <family val="2"/>
      </rPr>
      <t xml:space="preserve">국감 보도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</si>
  <si>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목표 </t>
    </r>
    <r>
      <rPr>
        <sz val="10"/>
        <rFont val="Arial"/>
        <family val="0"/>
        <charset val="1"/>
      </rPr>
      <t xml:space="preserve">145%'</t>
    </r>
    <r>
      <rPr>
        <sz val="10"/>
        <rFont val="WenQuanYi Zen Hei"/>
        <family val="2"/>
      </rPr>
      <t xml:space="preserve">라는 조합설립 숫자로 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 미미함을 가림</t>
    </r>
  </si>
  <si>
    <r>
      <rPr>
        <sz val="10"/>
        <rFont val="WenQuanYi Zen Hei"/>
        <family val="2"/>
      </rPr>
      <t xml:space="preserve">모아타운별 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 현황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반대동의율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철회 사례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투기 적발 건수</t>
    </r>
  </si>
  <si>
    <r>
      <rPr>
        <sz val="10"/>
        <rFont val="WenQuanYi Zen Hei"/>
        <family val="2"/>
      </rPr>
      <t xml:space="preserve">청년안심주택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역세권청년주택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</si>
  <si>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3.5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거주만족도 </t>
    </r>
    <r>
      <rPr>
        <sz val="10"/>
        <rFont val="Arial"/>
        <family val="0"/>
        <charset val="1"/>
      </rPr>
      <t xml:space="preserve">93.7%, </t>
    </r>
    <r>
      <rPr>
        <sz val="10"/>
        <rFont val="WenQuanYi Zen Hei"/>
        <family val="2"/>
      </rPr>
      <t xml:space="preserve">청약경쟁률 공공 </t>
    </r>
    <r>
      <rPr>
        <sz val="10"/>
        <rFont val="Arial"/>
        <family val="0"/>
        <charset val="1"/>
      </rPr>
      <t xml:space="preserve">100:1</t>
    </r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</si>
  <si>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잠실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쌍문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 사업장 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호 보증금 미반환 사태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보증보험 미가입 사업장 관리 부실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후순위 임차인 구제 지연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전세사기 특별법 절차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민간임대분 임대료가 청년에게 높다는 지적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원래 박원순 시정 도입 사업</t>
    </r>
  </si>
  <si>
    <r>
      <rPr>
        <sz val="10"/>
        <rFont val="Arial"/>
        <family val="0"/>
        <charset val="1"/>
      </rPr>
      <t xml:space="preserve">SBS Biz, </t>
    </r>
    <r>
      <rPr>
        <sz val="10"/>
        <rFont val="WenQuanYi Zen Hei"/>
        <family val="2"/>
      </rPr>
      <t xml:space="preserve">헤럴드</t>
    </r>
    <r>
      <rPr>
        <sz val="10"/>
        <rFont val="Arial"/>
        <family val="0"/>
        <charset val="1"/>
      </rPr>
      <t xml:space="preserve">(2025.8.20), </t>
    </r>
    <r>
      <rPr>
        <sz val="10"/>
        <rFont val="WenQuanYi Zen Hei"/>
        <family val="2"/>
      </rPr>
      <t xml:space="preserve">서울시의회 박승진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박석 의원</t>
    </r>
    <r>
      <rPr>
        <sz val="10"/>
        <rFont val="Arial"/>
        <family val="0"/>
        <charset val="1"/>
      </rPr>
      <t xml:space="preserve">(2025.11)</t>
    </r>
  </si>
  <si>
    <r>
      <rPr>
        <sz val="10"/>
        <rFont val="WenQuanYi Zen Hei"/>
        <family val="2"/>
      </rPr>
      <t xml:space="preserve">청년안심주택을 성공사례로만 제시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보증금 사태 미언급</t>
    </r>
  </si>
  <si>
    <r>
      <rPr>
        <sz val="10"/>
        <rFont val="WenQuanYi Zen Hei"/>
        <family val="2"/>
      </rPr>
      <t xml:space="preserve">보증금 미반환 피해자 반환 완료율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보증보험 미가입 사업장 현황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회수 실적</t>
    </r>
  </si>
  <si>
    <t xml:space="preserve">공공임대 공급 구조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</si>
  <si>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년간 공공주택 </t>
    </r>
    <r>
      <rPr>
        <sz val="10"/>
        <rFont val="Arial"/>
        <family val="0"/>
        <charset val="1"/>
      </rPr>
      <t xml:space="preserve">13.1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누계 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만호</t>
    </r>
  </si>
  <si>
    <r>
      <rPr>
        <sz val="10"/>
        <rFont val="Arial"/>
        <family val="0"/>
        <charset val="1"/>
      </rPr>
      <t xml:space="preserve">13.1</t>
    </r>
    <r>
      <rPr>
        <sz val="10"/>
        <rFont val="WenQuanYi Zen Hei"/>
        <family val="2"/>
      </rPr>
      <t xml:space="preserve">만호 중 건설형은 </t>
    </r>
    <r>
      <rPr>
        <sz val="10"/>
        <rFont val="Arial"/>
        <family val="0"/>
        <charset val="1"/>
      </rPr>
      <t xml:space="preserve">0.9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7%)</t>
    </r>
    <r>
      <rPr>
        <sz val="10"/>
        <rFont val="WenQuanYi Zen Hei"/>
        <family val="2"/>
      </rPr>
      <t xml:space="preserve">에 불과하고 임차형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전세임대 등</t>
    </r>
    <r>
      <rPr>
        <sz val="10"/>
        <rFont val="Arial"/>
        <family val="0"/>
        <charset val="1"/>
      </rPr>
      <t xml:space="preserve">) 7.4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매입형 </t>
    </r>
    <r>
      <rPr>
        <sz val="10"/>
        <rFont val="Arial"/>
        <family val="0"/>
        <charset val="1"/>
      </rPr>
      <t xml:space="preserve">4.8</t>
    </r>
    <r>
      <rPr>
        <sz val="10"/>
        <rFont val="WenQuanYi Zen Hei"/>
        <family val="2"/>
      </rPr>
      <t xml:space="preserve">만호가 대부분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장기 재고로 남는 건설형 공공임대가 크게 축소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누계 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만호는 과거 시정 공급분 포함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</si>
  <si>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민간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공공 투트랙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페이지</t>
    </r>
  </si>
  <si>
    <r>
      <rPr>
        <sz val="10"/>
        <rFont val="WenQuanYi Zen Hei"/>
        <family val="2"/>
      </rPr>
      <t xml:space="preserve">건설형 공공임대 급감을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총량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가림</t>
    </r>
  </si>
  <si>
    <r>
      <rPr>
        <sz val="10"/>
        <rFont val="WenQuanYi Zen Hei"/>
        <family val="2"/>
      </rPr>
      <t xml:space="preserve">연도별 유형별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건설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매입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임차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공급</t>
    </r>
    <r>
      <rPr>
        <sz val="10"/>
        <rFont val="Arial"/>
        <family val="0"/>
        <charset val="1"/>
      </rPr>
      <t xml:space="preserve">, SH </t>
    </r>
    <r>
      <rPr>
        <sz val="10"/>
        <rFont val="WenQuanYi Zen Hei"/>
        <family val="2"/>
      </rPr>
      <t xml:space="preserve">부채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사업비 추이</t>
    </r>
  </si>
  <si>
    <r>
      <rPr>
        <sz val="10"/>
        <rFont val="WenQuanYi Zen Hei"/>
        <family val="2"/>
      </rPr>
      <t xml:space="preserve">장기전세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미리내집</t>
    </r>
  </si>
  <si>
    <r>
      <rPr>
        <sz val="10"/>
        <rFont val="WenQuanYi Zen Hei"/>
        <family val="2"/>
      </rPr>
      <t xml:space="preserve">장기전세 </t>
    </r>
    <r>
      <rPr>
        <sz val="10"/>
        <rFont val="Arial"/>
        <family val="0"/>
        <charset val="1"/>
      </rPr>
      <t xml:space="preserve">3.8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미리내집 출산율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배</t>
    </r>
  </si>
  <si>
    <r>
      <rPr>
        <sz val="10"/>
        <rFont val="WenQuanYi Zen Hei"/>
        <family val="2"/>
      </rPr>
      <t xml:space="preserve">미리내집 출산 효과는 입주자 설문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응답률 </t>
    </r>
    <r>
      <rPr>
        <sz val="10"/>
        <rFont val="Arial"/>
        <family val="0"/>
        <charset val="1"/>
      </rPr>
      <t xml:space="preserve">21%, 216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기반으로 인과 단정 곤란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신혼부부 대상이라 선택효과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공급 규모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천호 목표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대비 수요 과다</t>
    </r>
  </si>
  <si>
    <t xml:space="preserve">백서 미리내집 페이지</t>
  </si>
  <si>
    <t xml:space="preserve">소규모 시범사업을 대표 성과로 확대 포장</t>
  </si>
  <si>
    <r>
      <rPr>
        <sz val="10"/>
        <rFont val="WenQuanYi Zen Hei"/>
        <family val="2"/>
      </rPr>
      <t xml:space="preserve">미리내집 연도별 공급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경쟁률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출산 설문 원자료</t>
    </r>
  </si>
  <si>
    <t xml:space="preserve">규제완화의 공공성 후퇴</t>
  </si>
  <si>
    <r>
      <rPr>
        <sz val="10"/>
        <rFont val="WenQuanYi Zen Hei"/>
        <family val="2"/>
      </rPr>
      <t xml:space="preserve">임대주택 비율 완화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기부채납 완화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이주비 </t>
    </r>
    <r>
      <rPr>
        <sz val="10"/>
        <rFont val="Arial"/>
        <family val="0"/>
        <charset val="1"/>
      </rPr>
      <t xml:space="preserve">LTV </t>
    </r>
    <r>
      <rPr>
        <sz val="10"/>
        <rFont val="WenQuanYi Zen Hei"/>
        <family val="2"/>
      </rPr>
      <t xml:space="preserve">폐지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조합원 지위양도 제한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유예 요구</t>
    </r>
  </si>
  <si>
    <r>
      <rPr>
        <sz val="10"/>
        <rFont val="WenQuanYi Zen Hei"/>
        <family val="2"/>
      </rPr>
      <t xml:space="preserve">재개발 임대주택 의무비율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공원녹지 기부채납 완화는 공공 몫 축소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조합원 지위양도 제한 완화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이주비 </t>
    </r>
    <r>
      <rPr>
        <sz val="10"/>
        <rFont val="Arial"/>
        <family val="0"/>
        <charset val="1"/>
      </rPr>
      <t xml:space="preserve">LTV </t>
    </r>
    <r>
      <rPr>
        <sz val="10"/>
        <rFont val="WenQuanYi Zen Hei"/>
        <family val="2"/>
      </rPr>
      <t xml:space="preserve">폐지는 투기수요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가계부채 확대 우려로 정부 대출규제와 정면 충돌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</si>
  <si>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규제혁신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페이지</t>
    </r>
    <r>
      <rPr>
        <sz val="10"/>
        <rFont val="Arial"/>
        <family val="0"/>
        <charset val="1"/>
      </rPr>
      <t xml:space="preserve">, 2026 </t>
    </r>
    <r>
      <rPr>
        <sz val="10"/>
        <rFont val="WenQuanYi Zen Hei"/>
        <family val="2"/>
      </rPr>
      <t xml:space="preserve">국감 오 시장 발언</t>
    </r>
  </si>
  <si>
    <r>
      <rPr>
        <sz val="10"/>
        <rFont val="WenQuanYi Zen Hei"/>
        <family val="2"/>
      </rPr>
      <t xml:space="preserve">공급 확대 명분으로 공공성 후퇴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투기 유발 리스크 축소</t>
    </r>
  </si>
  <si>
    <r>
      <rPr>
        <sz val="10"/>
        <rFont val="WenQuanYi Zen Hei"/>
        <family val="2"/>
      </rPr>
      <t xml:space="preserve">완화 조치별 공공기여 감소분 추계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지위양도 완화 시 거래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영향 검토자료</t>
    </r>
  </si>
  <si>
    <t xml:space="preserve">정부 공급정책과의 갈등</t>
  </si>
  <si>
    <r>
      <rPr>
        <sz val="10"/>
        <rFont val="WenQuanYi Zen Hei"/>
        <family val="2"/>
      </rPr>
      <t xml:space="preserve">용산공원 부지 주택 반대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탄천 부지 대안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</si>
  <si>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공급이 최우선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이라면서 정부의 용산공원 일부 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그린벨트 활용</t>
    </r>
    <r>
      <rPr>
        <sz val="10"/>
        <rFont val="Arial"/>
        <family val="0"/>
        <charset val="1"/>
      </rPr>
      <t xml:space="preserve">, 500</t>
    </r>
    <r>
      <rPr>
        <sz val="10"/>
        <rFont val="WenQuanYi Zen Hei"/>
        <family val="2"/>
      </rPr>
      <t xml:space="preserve">가구 이하 정비사업 권한 자치구 이양에는 반대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공급 지연 책임 공방의 당사자</t>
    </r>
  </si>
  <si>
    <r>
      <rPr>
        <sz val="10"/>
        <rFont val="WenQuanYi Zen Hei"/>
        <family val="2"/>
      </rPr>
      <t xml:space="preserve">데일리안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아이뉴스</t>
    </r>
    <r>
      <rPr>
        <sz val="10"/>
        <rFont val="Arial"/>
        <family val="0"/>
        <charset val="1"/>
      </rPr>
      <t xml:space="preserve">24(2026.10.15 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</si>
  <si>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공급 지연 책임을 과거 시정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정부로 분산</t>
    </r>
  </si>
  <si>
    <r>
      <rPr>
        <sz val="10"/>
        <rFont val="WenQuanYi Zen Hei"/>
        <family val="2"/>
      </rPr>
      <t xml:space="preserve">용산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탄천 대안 비교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정화기간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공급시기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물량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근거자료</t>
    </r>
  </si>
  <si>
    <r>
      <rPr>
        <sz val="10"/>
        <rFont val="WenQuanYi Zen Hei"/>
        <family val="2"/>
      </rPr>
      <t xml:space="preserve">비아파트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빌라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공급</t>
    </r>
  </si>
  <si>
    <r>
      <rPr>
        <sz val="10"/>
        <rFont val="WenQuanYi Zen Hei"/>
        <family val="2"/>
      </rPr>
      <t xml:space="preserve">비아파트 착공 급감은 전세사기</t>
    </r>
    <r>
      <rPr>
        <sz val="10"/>
        <rFont val="Arial"/>
        <family val="0"/>
        <charset val="1"/>
      </rPr>
      <t xml:space="preserve">·PF·</t>
    </r>
    <r>
      <rPr>
        <sz val="10"/>
        <rFont val="WenQuanYi Zen Hei"/>
        <family val="2"/>
      </rPr>
      <t xml:space="preserve">자재값 탓</t>
    </r>
  </si>
  <si>
    <r>
      <rPr>
        <sz val="10"/>
        <rFont val="Arial"/>
        <family val="0"/>
        <charset val="1"/>
      </rPr>
      <t xml:space="preserve">2022 </t>
    </r>
    <r>
      <rPr>
        <sz val="10"/>
        <rFont val="WenQuanYi Zen Hei"/>
        <family val="2"/>
      </rPr>
      <t xml:space="preserve">이후 비아파트 착공 급감은 오세훈 재임기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서울시 차원의 비아파트 공급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전세사기 예방 대책 성과 미흡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</si>
  <si>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비아파트 착공 물량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도표</t>
    </r>
  </si>
  <si>
    <t xml:space="preserve">비아파트 부족을 외부요인으로만 설명</t>
  </si>
  <si>
    <r>
      <rPr>
        <sz val="10"/>
        <rFont val="WenQuanYi Zen Hei"/>
        <family val="2"/>
      </rPr>
      <t xml:space="preserve">비아파트 착공 연도별 실적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서울시 비아파트 대책 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실적</t>
    </r>
  </si>
  <si>
    <r>
      <rPr>
        <sz val="10"/>
        <rFont val="WenQuanYi Zen Hei"/>
        <family val="2"/>
      </rPr>
      <t xml:space="preserve">정비사업 공사비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분쟁</t>
    </r>
  </si>
  <si>
    <r>
      <rPr>
        <sz val="10"/>
        <rFont val="WenQuanYi Zen Hei"/>
        <family val="2"/>
      </rPr>
      <t xml:space="preserve">공사비 검증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사업성 보정계수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분담금 </t>
    </r>
    <r>
      <rPr>
        <sz val="10"/>
        <rFont val="Arial"/>
        <family val="0"/>
        <charset val="1"/>
      </rPr>
      <t xml:space="preserve">0.7</t>
    </r>
    <r>
      <rPr>
        <sz val="10"/>
        <rFont val="WenQuanYi Zen Hei"/>
        <family val="2"/>
      </rPr>
      <t xml:space="preserve">억 감소</t>
    </r>
  </si>
  <si>
    <r>
      <rPr>
        <sz val="10"/>
        <rFont val="WenQuanYi Zen Hei"/>
        <family val="2"/>
      </rPr>
      <t xml:space="preserve">공사비 급등에 따른 조합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시공사 분쟁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사업 중단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둔촌주공 </t>
    </r>
    <r>
      <rPr>
        <sz val="10"/>
        <rFont val="Arial"/>
        <family val="0"/>
        <charset val="1"/>
      </rPr>
      <t xml:space="preserve">2022 </t>
    </r>
    <r>
      <rPr>
        <sz val="10"/>
        <rFont val="WenQuanYi Zen Hei"/>
        <family val="2"/>
      </rPr>
      <t xml:space="preserve">공사중단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반복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보정계수 효과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비례율 </t>
    </r>
    <r>
      <rPr>
        <sz val="10"/>
        <rFont val="Arial"/>
        <family val="0"/>
        <charset val="1"/>
      </rPr>
      <t xml:space="preserve">+13%p)</t>
    </r>
    <r>
      <rPr>
        <sz val="10"/>
        <rFont val="WenQuanYi Zen Hei"/>
        <family val="2"/>
      </rPr>
      <t xml:space="preserve">는 일부 사례 기준</t>
    </r>
  </si>
  <si>
    <r>
      <rPr>
        <sz val="10"/>
        <rFont val="WenQuanYi Zen Hei"/>
        <family val="2"/>
      </rPr>
      <t xml:space="preserve">백서 모아주택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사업성 페이지</t>
    </r>
  </si>
  <si>
    <r>
      <rPr>
        <sz val="10"/>
        <rFont val="WenQuanYi Zen Hei"/>
        <family val="2"/>
      </rPr>
      <t xml:space="preserve">착공 지연의 실제 원인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공사비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분쟁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은폐</t>
    </r>
  </si>
  <si>
    <r>
      <rPr>
        <sz val="10"/>
        <rFont val="WenQuanYi Zen Hei"/>
        <family val="2"/>
      </rPr>
      <t xml:space="preserve">공사비 분쟁 구역 목록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보정계수 적용 구역 수와 효과 분석</t>
    </r>
  </si>
  <si>
    <r>
      <rPr>
        <sz val="10"/>
        <rFont val="WenQuanYi Zen Hei"/>
        <family val="2"/>
      </rPr>
      <t xml:space="preserve">도시개발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세운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</si>
  <si>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역세권 종상향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고밀개발</t>
    </r>
  </si>
  <si>
    <r>
      <rPr>
        <sz val="10"/>
        <rFont val="WenQuanYi Zen Hei"/>
        <family val="2"/>
      </rPr>
      <t xml:space="preserve">종묘 앞 세운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 고층화 등 세계유산 영향 논란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높이규제 폐지 이후 경관 관리 공백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</si>
  <si>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국감 쟁점 보도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</si>
  <si>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개발</t>
    </r>
    <r>
      <rPr>
        <sz val="10"/>
        <rFont val="Arial"/>
        <family val="0"/>
        <charset val="1"/>
      </rPr>
      <t xml:space="preserve">=</t>
    </r>
    <r>
      <rPr>
        <sz val="10"/>
        <rFont val="WenQuanYi Zen Hei"/>
        <family val="2"/>
      </rPr>
      <t xml:space="preserve">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보존</t>
    </r>
    <r>
      <rPr>
        <sz val="10"/>
        <rFont val="Arial"/>
        <family val="0"/>
        <charset val="1"/>
      </rPr>
      <t xml:space="preserve">=</t>
    </r>
    <r>
      <rPr>
        <sz val="10"/>
        <rFont val="WenQuanYi Zen Hei"/>
        <family val="2"/>
      </rPr>
      <t xml:space="preserve">악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구도를 박원순 탓으로 뒤집어 현재 보존 갈등 정당화</t>
    </r>
  </si>
  <si>
    <r>
      <rPr>
        <sz val="10"/>
        <rFont val="WenQuanYi Zen Hei"/>
        <family val="2"/>
      </rPr>
      <t xml:space="preserve">세운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구역 높이 변경 경위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국가유산청 협의 기록</t>
    </r>
  </si>
  <si>
    <r>
      <rPr>
        <sz val="10"/>
        <rFont val="WenQuanYi Zen Hei"/>
        <family val="2"/>
      </rPr>
      <t xml:space="preserve">행정 중립성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백서 제작</t>
    </r>
  </si>
  <si>
    <r>
      <rPr>
        <sz val="10"/>
        <rFont val="WenQuanYi Zen Hei"/>
        <family val="2"/>
      </rPr>
      <t xml:space="preserve">시민 주거현실 성찰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정책 원칙 제시</t>
    </r>
  </si>
  <si>
    <r>
      <rPr>
        <sz val="10"/>
        <rFont val="WenQuanYi Zen Hei"/>
        <family val="2"/>
      </rPr>
      <t xml:space="preserve">주택실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개 부서 공동으로 전임 시장을 실명 비판하는 정치적 백서를 국감 다음날 배포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제작 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인터뷰 섭외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조합장 위주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과정 공개 필요</t>
    </r>
  </si>
  <si>
    <t xml:space="preserve">보도자료 담당부서 표</t>
  </si>
  <si>
    <t xml:space="preserve">백서의 정치 홍보 성격</t>
  </si>
  <si>
    <r>
      <rPr>
        <sz val="10"/>
        <rFont val="WenQuanYi Zen Hei"/>
        <family val="2"/>
      </rPr>
      <t xml:space="preserve">백서 제작비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용역 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인터뷰 섭외 경로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결재 라인</t>
    </r>
  </si>
  <si>
    <t xml:space="preserve">국감 비주택 쟁점</t>
  </si>
  <si>
    <r>
      <rPr>
        <sz val="10"/>
        <rFont val="WenQuanYi Zen Hei"/>
        <family val="2"/>
      </rPr>
      <t xml:space="preserve">한강버스 리베이트 의혹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운영실적</t>
    </r>
    <r>
      <rPr>
        <sz val="10"/>
        <rFont val="Arial"/>
        <family val="0"/>
        <charset val="1"/>
      </rPr>
      <t xml:space="preserve">, GTX-A </t>
    </r>
    <r>
      <rPr>
        <sz val="10"/>
        <rFont val="WenQuanYi Zen Hei"/>
        <family val="2"/>
      </rPr>
      <t xml:space="preserve">철근 누락 등 국감 핵심 쟁점과 무관한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과거 시정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프레임 보도로 의제 전환 효과</t>
    </r>
  </si>
  <si>
    <r>
      <rPr>
        <sz val="10"/>
        <rFont val="WenQuanYi Zen Hei"/>
        <family val="2"/>
      </rPr>
      <t xml:space="preserve">아이뉴스</t>
    </r>
    <r>
      <rPr>
        <sz val="10"/>
        <rFont val="Arial"/>
        <family val="0"/>
        <charset val="1"/>
      </rPr>
      <t xml:space="preserve">24·</t>
    </r>
    <r>
      <rPr>
        <sz val="10"/>
        <rFont val="WenQuanYi Zen Hei"/>
        <family val="2"/>
      </rPr>
      <t xml:space="preserve">더팩트</t>
    </r>
    <r>
      <rPr>
        <sz val="10"/>
        <rFont val="Arial"/>
        <family val="0"/>
        <charset val="1"/>
      </rPr>
      <t xml:space="preserve">(2026.10.15 </t>
    </r>
    <r>
      <rPr>
        <sz val="10"/>
        <rFont val="WenQuanYi Zen Hei"/>
        <family val="2"/>
      </rPr>
      <t xml:space="preserve">국감 종합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</si>
  <si>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국감 당일 공방 이후 언론 의제를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박원순 책임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전환</t>
    </r>
  </si>
  <si>
    <t xml:space="preserve">국감 지적사항별 후속조치 계획 제출 요구</t>
  </si>
  <si>
    <r>
      <rPr>
        <b val="true"/>
        <sz val="10"/>
        <color rgb="FFFFFFFF"/>
        <rFont val="WenQuanYi Zen Hei"/>
        <family val="2"/>
      </rPr>
      <t xml:space="preserve">가리려는 것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</si>
  <si>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보도자료의 프레임 장치</t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</si>
  <si>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정황</t>
    </r>
  </si>
  <si>
    <r>
      <rPr>
        <b val="true"/>
        <sz val="10"/>
        <color rgb="FFFFFFFF"/>
        <rFont val="WenQuanYi Zen Hei"/>
        <family val="2"/>
      </rPr>
      <t xml:space="preserve">반박 논리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활용 메시지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</si>
  <si>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가설 신뢰도</t>
  </si>
  <si>
    <r>
      <rPr>
        <sz val="10"/>
        <rFont val="WenQuanYi Zen Hei"/>
        <family val="2"/>
      </rPr>
      <t xml:space="preserve">현 재임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 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입주 부진과 현재 공급절벽의 책임</t>
    </r>
  </si>
  <si>
    <r>
      <rPr>
        <sz val="10"/>
        <rFont val="Arial"/>
        <family val="0"/>
        <charset val="1"/>
      </rPr>
      <t xml:space="preserve">'10</t>
    </r>
    <r>
      <rPr>
        <sz val="10"/>
        <rFont val="WenQuanYi Zen Hei"/>
        <family val="2"/>
      </rPr>
      <t xml:space="preserve">년 전 해제의 충격이 지금 현실화</t>
    </r>
    <r>
      <rPr>
        <sz val="10"/>
        <rFont val="Arial"/>
        <family val="0"/>
        <charset val="1"/>
      </rPr>
      <t xml:space="preserve">' – </t>
    </r>
    <r>
      <rPr>
        <sz val="10"/>
        <rFont val="WenQuanYi Zen Hei"/>
        <family val="2"/>
      </rPr>
      <t xml:space="preserve">시차 논리로 현재 책임을 과거로 이전</t>
    </r>
  </si>
  <si>
    <r>
      <rPr>
        <sz val="10"/>
        <rFont val="WenQuanYi Zen Hei"/>
        <family val="2"/>
      </rPr>
      <t xml:space="preserve">착공 반토막 시기</t>
    </r>
    <r>
      <rPr>
        <sz val="10"/>
        <rFont val="Arial"/>
        <family val="0"/>
        <charset val="1"/>
      </rPr>
      <t xml:space="preserve">(21~25)</t>
    </r>
    <r>
      <rPr>
        <sz val="10"/>
        <rFont val="WenQuanYi Zen Hei"/>
        <family val="2"/>
      </rPr>
      <t xml:space="preserve">가 오세훈 재임기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사업시행인가 증가에도 착공 감소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</si>
  <si>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인허가는 늘었는데 착공이 줄었다면 원인은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전이 아니라 지금의 사업관리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시장관리에 있다</t>
    </r>
    <r>
      <rPr>
        <sz val="10"/>
        <rFont val="Arial"/>
        <family val="0"/>
        <charset val="1"/>
      </rPr>
      <t xml:space="preserve">'</t>
    </r>
  </si>
  <si>
    <t xml:space="preserve">집값 급등과 토허제 해제 실책</t>
  </si>
  <si>
    <r>
      <rPr>
        <sz val="10"/>
        <rFont val="WenQuanYi Zen Hei"/>
        <family val="2"/>
      </rPr>
      <t xml:space="preserve">집값 원인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공급 부족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박원순 해제</t>
    </r>
  </si>
  <si>
    <r>
      <rPr>
        <sz val="10"/>
        <rFont val="WenQuanYi Zen Hei"/>
        <family val="2"/>
      </rPr>
      <t xml:space="preserve">국감 답변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집값 핵심은 공급 불확실성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토허제 해제 후 한 달 만 재지정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사과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</si>
  <si>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공급은 수년 단위 변수</t>
    </r>
    <r>
      <rPr>
        <sz val="10"/>
        <rFont val="Arial"/>
        <family val="0"/>
        <charset val="1"/>
      </rPr>
      <t xml:space="preserve">, 2025</t>
    </r>
    <r>
      <rPr>
        <sz val="10"/>
        <rFont val="WenQuanYi Zen Hei"/>
        <family val="2"/>
      </rPr>
      <t xml:space="preserve">년 급등은 토허제 해제라는 단기 결정과 맞물려 있다</t>
    </r>
    <r>
      <rPr>
        <sz val="10"/>
        <rFont val="Arial"/>
        <family val="0"/>
        <charset val="1"/>
      </rPr>
      <t xml:space="preserve">'</t>
    </r>
  </si>
  <si>
    <t xml:space="preserve">구역지정 숫자에 기댄 성과 부풀리기</t>
  </si>
  <si>
    <r>
      <rPr>
        <sz val="10"/>
        <rFont val="Arial"/>
        <family val="0"/>
        <charset val="1"/>
      </rPr>
      <t xml:space="preserve">'77</t>
    </r>
    <r>
      <rPr>
        <sz val="10"/>
        <rFont val="WenQuanYi Zen Hei"/>
        <family val="2"/>
      </rPr>
      <t xml:space="preserve">곳→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', '214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·30.7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', '60</t>
    </r>
    <r>
      <rPr>
        <sz val="10"/>
        <rFont val="WenQuanYi Zen Hei"/>
        <family val="2"/>
      </rPr>
      <t xml:space="preserve">만호 공급실현 가시화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</si>
  <si>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지정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조합설립 등 초기단계 지표만 강조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준공 전환율 미공개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</si>
  <si>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지정은 약속이고 공급은 착공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입주다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단계별 전환율을 공개하라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</si>
  <si>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모아타운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신통 갈등과 실적 저조</t>
    </r>
  </si>
  <si>
    <r>
      <rPr>
        <sz val="10"/>
        <rFont val="WenQuanYi Zen Hei"/>
        <family val="2"/>
      </rPr>
      <t xml:space="preserve">모아타운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목표 </t>
    </r>
    <r>
      <rPr>
        <sz val="10"/>
        <rFont val="Arial"/>
        <family val="0"/>
        <charset val="1"/>
      </rPr>
      <t xml:space="preserve">145%' </t>
    </r>
    <r>
      <rPr>
        <sz val="10"/>
        <rFont val="WenQuanYi Zen Hei"/>
        <family val="2"/>
      </rPr>
      <t xml:space="preserve">등 조합설립 성과만 제시</t>
    </r>
  </si>
  <si>
    <r>
      <rPr>
        <sz val="10"/>
        <rFont val="WenQuanYi Zen Hei"/>
        <family val="2"/>
      </rPr>
      <t xml:space="preserve">시의회 민주당 행감 중점 대상 선정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첫 준공 </t>
    </r>
    <r>
      <rPr>
        <sz val="10"/>
        <rFont val="Arial"/>
        <family val="0"/>
        <charset val="1"/>
      </rPr>
      <t xml:space="preserve">2026.8 1</t>
    </r>
    <r>
      <rPr>
        <sz val="10"/>
        <rFont val="WenQuanYi Zen Hei"/>
        <family val="2"/>
      </rPr>
      <t xml:space="preserve">곳</t>
    </r>
  </si>
  <si>
    <r>
      <rPr>
        <sz val="10"/>
        <rFont val="Arial"/>
        <family val="0"/>
        <charset val="1"/>
      </rPr>
      <t xml:space="preserve">'145%</t>
    </r>
    <r>
      <rPr>
        <sz val="10"/>
        <rFont val="WenQuanYi Zen Hei"/>
        <family val="2"/>
      </rPr>
      <t xml:space="preserve">는 조합설립 기준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준공은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곳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</si>
  <si>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임대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주거복지 정책 부실</t>
    </r>
  </si>
  <si>
    <r>
      <rPr>
        <sz val="10"/>
        <rFont val="WenQuanYi Zen Hei"/>
        <family val="2"/>
      </rPr>
      <t xml:space="preserve">청년안심주택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미리내집을 성공사례로만 제시</t>
    </r>
  </si>
  <si>
    <r>
      <rPr>
        <sz val="10"/>
        <rFont val="WenQuanYi Zen Hei"/>
        <family val="2"/>
      </rPr>
      <t xml:space="preserve">청년안심주택 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호 보증금 미반환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건설형 공공임대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년간 </t>
    </r>
    <r>
      <rPr>
        <sz val="10"/>
        <rFont val="Arial"/>
        <family val="0"/>
        <charset val="1"/>
      </rPr>
      <t xml:space="preserve">0.9</t>
    </r>
    <r>
      <rPr>
        <sz val="10"/>
        <rFont val="WenQuanYi Zen Hei"/>
        <family val="2"/>
      </rPr>
      <t xml:space="preserve">만호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</si>
  <si>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청년 보증금도 못 지킨 정책을 성과로 내세우나</t>
    </r>
    <r>
      <rPr>
        <sz val="10"/>
        <rFont val="Arial"/>
        <family val="0"/>
        <charset val="1"/>
      </rPr>
      <t xml:space="preserve">', '</t>
    </r>
    <r>
      <rPr>
        <sz val="10"/>
        <rFont val="WenQuanYi Zen Hei"/>
        <family val="2"/>
      </rPr>
      <t xml:space="preserve">건설형 공공임대 </t>
    </r>
    <r>
      <rPr>
        <sz val="10"/>
        <rFont val="Arial"/>
        <family val="0"/>
        <charset val="1"/>
      </rPr>
      <t xml:space="preserve">7%'</t>
    </r>
  </si>
  <si>
    <r>
      <rPr>
        <sz val="10"/>
        <rFont val="WenQuanYi Zen Hei"/>
        <family val="2"/>
      </rPr>
      <t xml:space="preserve">국감 비주택 의혹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한강버스</t>
    </r>
    <r>
      <rPr>
        <sz val="10"/>
        <rFont val="Arial"/>
        <family val="0"/>
        <charset val="1"/>
      </rPr>
      <t xml:space="preserve">·GTX-A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</si>
  <si>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국감 다음날 석간</t>
    </r>
    <r>
      <rPr>
        <sz val="10"/>
        <rFont val="Arial"/>
        <family val="0"/>
        <charset val="1"/>
      </rPr>
      <t xml:space="preserve">, '</t>
    </r>
    <r>
      <rPr>
        <sz val="10"/>
        <rFont val="WenQuanYi Zen Hei"/>
        <family val="2"/>
      </rPr>
      <t xml:space="preserve">과거 반성문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형식으로 언론 의제 선점</t>
    </r>
  </si>
  <si>
    <r>
      <rPr>
        <sz val="10"/>
        <rFont val="WenQuanYi Zen Hei"/>
        <family val="2"/>
      </rPr>
      <t xml:space="preserve">배포 시점</t>
    </r>
    <r>
      <rPr>
        <sz val="10"/>
        <rFont val="Arial"/>
        <family val="0"/>
        <charset val="1"/>
      </rPr>
      <t xml:space="preserve">(10.15 </t>
    </r>
    <r>
      <rPr>
        <sz val="10"/>
        <rFont val="WenQuanYi Zen Hei"/>
        <family val="2"/>
      </rPr>
      <t xml:space="preserve">국감 → </t>
    </r>
    <r>
      <rPr>
        <sz val="10"/>
        <rFont val="Arial"/>
        <family val="0"/>
        <charset val="1"/>
      </rPr>
      <t xml:space="preserve">10.16 </t>
    </r>
    <r>
      <rPr>
        <sz val="10"/>
        <rFont val="WenQuanYi Zen Hei"/>
        <family val="2"/>
      </rPr>
      <t xml:space="preserve">배포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다수 매체가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박원순 시정 직격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보도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</si>
  <si>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국감 지적에 대한 답은 과거 탓이 아니라 후속 조치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</si>
  <si>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정부와의 공급 갈등에서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발목잡기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비판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</si>
  <si>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정책 연속성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강조 → 정권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시정 교체 시 정책 단절 경고</t>
    </r>
  </si>
  <si>
    <r>
      <rPr>
        <sz val="10"/>
        <rFont val="WenQuanYi Zen Hei"/>
        <family val="2"/>
      </rPr>
      <t xml:space="preserve">용산공원 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그린벨트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정비사업 권한 이양 반대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조합원 지위양도</t>
    </r>
    <r>
      <rPr>
        <sz val="10"/>
        <rFont val="Arial"/>
        <family val="0"/>
        <charset val="1"/>
      </rPr>
      <t xml:space="preserve">·LTV </t>
    </r>
    <r>
      <rPr>
        <sz val="10"/>
        <rFont val="WenQuanYi Zen Hei"/>
        <family val="2"/>
      </rPr>
      <t xml:space="preserve">완화 요구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</si>
  <si>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연속성을 말하면서 정부 공급정책에는 반대하는 모순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</si>
  <si>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기 뉴타운 과잉지정 책임</t>
    </r>
  </si>
  <si>
    <r>
      <rPr>
        <sz val="10"/>
        <rFont val="WenQuanYi Zen Hei"/>
        <family val="2"/>
      </rPr>
      <t xml:space="preserve">뉴타운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공급기반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해제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붕괴</t>
    </r>
  </si>
  <si>
    <r>
      <rPr>
        <sz val="10"/>
        <rFont val="Arial"/>
        <family val="0"/>
        <charset val="1"/>
      </rPr>
      <t xml:space="preserve">2008 </t>
    </r>
    <r>
      <rPr>
        <sz val="10"/>
        <rFont val="WenQuanYi Zen Hei"/>
        <family val="2"/>
      </rPr>
      <t xml:space="preserve">총선 뉴타운 공약 논란</t>
    </r>
    <r>
      <rPr>
        <sz val="10"/>
        <rFont val="Arial"/>
        <family val="0"/>
        <charset val="1"/>
      </rPr>
      <t xml:space="preserve">, 221</t>
    </r>
    <r>
      <rPr>
        <sz val="10"/>
        <rFont val="WenQuanYi Zen Hei"/>
        <family val="2"/>
      </rPr>
      <t xml:space="preserve">개 구역 추가지정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금융위기 이후 사업 정체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분담금 갈등이 해제 요구의 원인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</si>
  <si>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해제 수요를 만든 것은 무리한 지정과 사업성 악화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</si>
  <si>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규제완화의 투기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공공성 후퇴 리스크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</si>
  <si>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규제가 계속되면 공급이 멈춘다</t>
    </r>
    <r>
      <rPr>
        <sz val="10"/>
        <rFont val="Arial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</si>
  <si>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임대비율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기부채납 완화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지위양도 제한 유예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이주비 </t>
    </r>
    <r>
      <rPr>
        <sz val="10"/>
        <rFont val="Arial"/>
        <family val="0"/>
        <charset val="1"/>
      </rPr>
      <t xml:space="preserve">LTV </t>
    </r>
    <r>
      <rPr>
        <sz val="10"/>
        <rFont val="WenQuanYi Zen Hei"/>
        <family val="2"/>
      </rPr>
      <t xml:space="preserve">폐지 요구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</si>
  <si>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공급 속도와 맞바꾼 공공 몫과 가계부채 리스크는 누가 책임지나</t>
    </r>
    <r>
      <rPr>
        <sz val="10"/>
        <rFont val="Arial"/>
        <family val="0"/>
        <charset val="1"/>
      </rPr>
      <t xml:space="preserve">'</t>
    </r>
  </si>
  <si>
    <t xml:space="preserve">항목</t>
  </si>
  <si>
    <t xml:space="preserve">값</t>
  </si>
  <si>
    <t xml:space="preserve">단위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</si>
  <si>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설명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</si>
  <si>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도시재생활성화사업 투입액</t>
    </r>
  </si>
  <si>
    <t xml:space="preserve">억원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</si>
  <si>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p.4 (</t>
    </r>
    <r>
      <rPr>
        <sz val="10"/>
        <rFont val="WenQuanYi Zen Hei"/>
        <family val="2"/>
      </rPr>
      <t xml:space="preserve">서울시 제공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</si>
  <si>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주거환경개선사업 투입액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</si>
  <si>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매몰비용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</si>
  <si>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그중 매몰비용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'</t>
    </r>
  </si>
  <si>
    <t xml:space="preserve">합계 투입액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</si>
  <si>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억과 일치 여부 확인</t>
    </r>
  </si>
  <si>
    <t xml:space="preserve">매몰비용 비중</t>
  </si>
  <si>
    <t xml:space="preserve">%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</si>
  <si>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상당수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와 비교 → 약 </t>
    </r>
    <r>
      <rPr>
        <sz val="10"/>
        <rFont val="Arial"/>
        <family val="0"/>
        <charset val="1"/>
      </rPr>
      <t xml:space="preserve">15%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</si>
  <si>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전체 정비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구역</t>
    </r>
  </si>
  <si>
    <t xml:space="preserve">곳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</si>
  <si>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p.2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</si>
  <si>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해제 구역</t>
    </r>
  </si>
  <si>
    <t xml:space="preserve">해제 비율</t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</si>
  <si>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57%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</si>
  <si>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직권해제</t>
    </r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</si>
  <si>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p.3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</si>
  <si>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의견조사 후 해제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</si>
  <si>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일몰 해제</t>
    </r>
  </si>
  <si>
    <t xml:space="preserve">유형 합계 – 해제 구역 차이</t>
  </si>
  <si>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이면 산술 일치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</si>
  <si>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해제 당시 추진주체 구성 구역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</si>
  <si>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추진주체 구성 후 해제 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(41%)'</t>
    </r>
  </si>
  <si>
    <r>
      <rPr>
        <sz val="10"/>
        <rFont val="WenQuanYi Zen Hei"/>
        <family val="2"/>
      </rPr>
      <t xml:space="preserve">추진주체 없던 구역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예정구역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</si>
  <si>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중 사업 초기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예정 단계</t>
    </r>
  </si>
  <si>
    <t xml:space="preserve">추진주체 없던 구역 비중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</si>
  <si>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해제 후 재추진 구역</t>
    </r>
  </si>
  <si>
    <t xml:space="preserve">재추진 비율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</si>
  <si>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상실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 아닌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지연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비중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</si>
  <si>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16~20 </t>
    </r>
    <r>
      <rPr>
        <sz val="10"/>
        <rFont val="WenQuanYi Zen Hei"/>
        <family val="2"/>
      </rPr>
      <t xml:space="preserve">연평균 착공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박원순 재임기</t>
    </r>
    <r>
      <rPr>
        <sz val="10"/>
        <rFont val="Arial"/>
        <family val="0"/>
        <charset val="1"/>
      </rPr>
      <t xml:space="preserve">)</t>
    </r>
  </si>
  <si>
    <t xml:space="preserve">만호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</si>
  <si>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21~25 </t>
    </r>
    <r>
      <rPr>
        <sz val="10"/>
        <rFont val="WenQuanYi Zen Hei"/>
        <family val="2"/>
      </rPr>
      <t xml:space="preserve">연평균 착공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오세훈 재임기</t>
    </r>
    <r>
      <rPr>
        <sz val="10"/>
        <rFont val="Arial"/>
        <family val="0"/>
        <charset val="1"/>
      </rPr>
      <t xml:space="preserve">)</t>
    </r>
  </si>
  <si>
    <t xml:space="preserve">착공 감소율</t>
  </si>
  <si>
    <t xml:space="preserve">감소 기간은 오세훈 재임기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</si>
  <si>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사업시행인가 </t>
    </r>
    <r>
      <rPr>
        <sz val="10"/>
        <rFont val="Arial"/>
        <family val="0"/>
        <charset val="1"/>
      </rPr>
      <t xml:space="preserve">16~20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</si>
  <si>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사업시행인가 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개소 → 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개소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</si>
  <si>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사업시행인가 </t>
    </r>
    <r>
      <rPr>
        <sz val="10"/>
        <rFont val="Arial"/>
        <family val="0"/>
        <charset val="1"/>
      </rPr>
      <t xml:space="preserve">21~25</t>
    </r>
  </si>
  <si>
    <t xml:space="preserve">백서</t>
  </si>
  <si>
    <t xml:space="preserve">사업시행인가 증가율</t>
  </si>
  <si>
    <t xml:space="preserve">인가 증가에도 착공 감소 → 인과 약화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</si>
  <si>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정비구역 지정 </t>
    </r>
    <r>
      <rPr>
        <sz val="10"/>
        <rFont val="Arial"/>
        <family val="0"/>
        <charset val="1"/>
      </rPr>
      <t xml:space="preserve">16~20</t>
    </r>
  </si>
  <si>
    <r>
      <rPr>
        <sz val="10"/>
        <rFont val="WenQuanYi Zen Hei"/>
        <family val="2"/>
      </rPr>
      <t xml:space="preserve">보도자료 </t>
    </r>
    <r>
      <rPr>
        <sz val="10"/>
        <rFont val="Arial"/>
        <family val="0"/>
        <charset val="1"/>
      </rPr>
      <t xml:space="preserve">p.5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</si>
  <si>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정비구역 지정 </t>
    </r>
    <r>
      <rPr>
        <sz val="10"/>
        <rFont val="Arial"/>
        <family val="0"/>
        <charset val="1"/>
      </rPr>
      <t xml:space="preserve">21~25</t>
    </r>
  </si>
  <si>
    <t xml:space="preserve">지정 배수</t>
  </si>
  <si>
    <t xml:space="preserve">배</t>
  </si>
  <si>
    <t xml:space="preserve">지정은 계획 단계 지표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</si>
  <si>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5</t>
    </r>
    <r>
      <rPr>
        <sz val="10"/>
        <rFont val="WenQuanYi Zen Hei"/>
        <family val="2"/>
      </rPr>
      <t xml:space="preserve">년간 공공주택 공급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</si>
  <si>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그중 건설형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</si>
  <si>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건설형 </t>
    </r>
    <r>
      <rPr>
        <sz val="10"/>
        <rFont val="Arial"/>
        <family val="0"/>
        <charset val="1"/>
      </rPr>
      <t xml:space="preserve">0.9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</si>
  <si>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그중 임차형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</si>
  <si>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임차형 </t>
    </r>
    <r>
      <rPr>
        <sz val="10"/>
        <rFont val="Arial"/>
        <family val="0"/>
        <charset val="1"/>
      </rPr>
      <t xml:space="preserve">7.4</t>
    </r>
    <r>
      <rPr>
        <sz val="10"/>
        <rFont val="WenQuanYi Zen Hei"/>
        <family val="2"/>
      </rPr>
      <t xml:space="preserve">만호</t>
    </r>
    <r>
      <rPr>
        <sz val="10"/>
        <rFont val="Arial"/>
        <family val="0"/>
        <charset val="1"/>
      </rPr>
      <t xml:space="preserve">'</t>
    </r>
  </si>
  <si>
    <t xml:space="preserve">건설형 비중</t>
  </si>
  <si>
    <t xml:space="preserve">장기 재고로 남는 건설형 비중</t>
  </si>
  <si>
    <t xml:space="preserve">임차형 비중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</si>
  <si>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2026 </t>
    </r>
    <r>
      <rPr>
        <sz val="10"/>
        <rFont val="WenQuanYi Zen Hei"/>
        <family val="2"/>
      </rPr>
      <t xml:space="preserve">착공 목표</t>
    </r>
  </si>
  <si>
    <r>
      <rPr>
        <sz val="10"/>
        <rFont val="WenQuanYi Zen Hei"/>
        <family val="2"/>
      </rPr>
      <t xml:space="preserve">백서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금년 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만호 착공 달성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</si>
  <si>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2026 </t>
    </r>
    <r>
      <rPr>
        <sz val="10"/>
        <rFont val="WenQuanYi Zen Hei"/>
        <family val="2"/>
      </rPr>
      <t xml:space="preserve">국감 시점 착공 실적</t>
    </r>
  </si>
  <si>
    <r>
      <rPr>
        <sz val="10"/>
        <rFont val="WenQuanYi Zen Hei"/>
        <family val="2"/>
      </rPr>
      <t xml:space="preserve">오 시장 국감 답변</t>
    </r>
    <r>
      <rPr>
        <sz val="10"/>
        <rFont val="Arial"/>
        <family val="0"/>
        <charset val="1"/>
      </rPr>
      <t xml:space="preserve">(2026.10.15)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</si>
  <si>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목표 달성률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</si>
  <si>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미리내집 설문 응답자</t>
    </r>
  </si>
  <si>
    <t xml:space="preserve">명</t>
  </si>
  <si>
    <r>
      <rPr>
        <sz val="10"/>
        <rFont val="WenQuanYi Zen Hei"/>
        <family val="2"/>
      </rPr>
      <t xml:space="preserve">백서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입주민 </t>
    </r>
    <r>
      <rPr>
        <sz val="10"/>
        <rFont val="Arial"/>
        <family val="0"/>
        <charset val="1"/>
      </rPr>
      <t xml:space="preserve">1,018</t>
    </r>
    <r>
      <rPr>
        <sz val="10"/>
        <rFont val="WenQuanYi Zen Hei"/>
        <family val="2"/>
      </rPr>
      <t xml:space="preserve">명 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</si>
  <si>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미리내집 설문 대상</t>
    </r>
  </si>
  <si>
    <t xml:space="preserve">설문 응답률</t>
  </si>
  <si>
    <t xml:space="preserve">표본 대표성 낮음</t>
  </si>
  <si>
    <r>
      <rPr>
        <i val="true"/>
        <sz val="9"/>
        <rFont val="WenQuanYi Zen Hei"/>
        <family val="2"/>
      </rPr>
      <t xml:space="preserve">범례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보도자료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백서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국감 발언에서 옮긴 입력값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검정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수식 계산값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입력값을 원자료로 바꾸면 자동 재계산됨</t>
    </r>
  </si>
  <si>
    <t xml:space="preserve">대상</t>
  </si>
  <si>
    <r>
      <rPr>
        <b val="true"/>
        <sz val="10"/>
        <color rgb="FFFFFFFF"/>
        <rFont val="WenQuanYi Zen Hei"/>
        <family val="2"/>
      </rPr>
      <t xml:space="preserve">자료요구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질의</t>
    </r>
  </si>
  <si>
    <r>
      <rPr>
        <b val="true"/>
        <sz val="10"/>
        <color rgb="FFFFFFFF"/>
        <rFont val="WenQuanYi Zen Hei"/>
        <family val="2"/>
      </rPr>
      <t xml:space="preserve">목적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검증할 주장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</si>
  <si>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관련 시트</t>
  </si>
  <si>
    <t xml:space="preserve">주택실</t>
  </si>
  <si>
    <r>
      <rPr>
        <sz val="10"/>
        <rFont val="WenQuanYi Zen Hei"/>
        <family val="2"/>
      </rPr>
      <t xml:space="preserve">해제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구역별 해제 당시 사업단계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해제 사유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주민의견조사 참여율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찬반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계획세대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기존세대</t>
    </r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</si>
  <si>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유형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일반화 검증</t>
    </r>
  </si>
  <si>
    <t xml:space="preserve">1_No.4~6</t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</si>
  <si>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산정표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계획 수립 시점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순증 여부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</si>
  <si>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과장 여부</t>
    </r>
  </si>
  <si>
    <t xml:space="preserve">1_No.5</t>
  </si>
  <si>
    <r>
      <rPr>
        <sz val="10"/>
        <rFont val="WenQuanYi Zen Hei"/>
        <family val="2"/>
      </rPr>
      <t xml:space="preserve">재생실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주택실</t>
    </r>
  </si>
  <si>
    <r>
      <rPr>
        <sz val="10"/>
        <rFont val="WenQuanYi Zen Hei"/>
        <family val="2"/>
      </rPr>
      <t xml:space="preserve">도시재생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960</t>
    </r>
    <r>
      <rPr>
        <sz val="10"/>
        <rFont val="WenQuanYi Zen Hei"/>
        <family val="2"/>
      </rPr>
      <t xml:space="preserve">억 사업별 국비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시비 내역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매몰비용 </t>
    </r>
    <r>
      <rPr>
        <sz val="10"/>
        <rFont val="Arial"/>
        <family val="0"/>
        <charset val="1"/>
      </rPr>
      <t xml:space="preserve">1,640</t>
    </r>
    <r>
      <rPr>
        <sz val="10"/>
        <rFont val="WenQuanYi Zen Hei"/>
        <family val="2"/>
      </rPr>
      <t xml:space="preserve">억 산정 기준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존속시설 목록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</si>
  <si>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혈세 낭비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상당수 매몰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과장 여부</t>
    </r>
  </si>
  <si>
    <t xml:space="preserve">1_No.13</t>
  </si>
  <si>
    <r>
      <rPr>
        <sz val="10"/>
        <rFont val="Arial"/>
        <family val="0"/>
        <charset val="1"/>
      </rPr>
      <t xml:space="preserve">2016~2026 </t>
    </r>
    <r>
      <rPr>
        <sz val="10"/>
        <rFont val="WenQuanYi Zen Hei"/>
        <family val="2"/>
      </rPr>
      <t xml:space="preserve">연도별 착공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비정비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아파트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비아파트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사업시행인가 후 미착공 구역과 사유</t>
    </r>
  </si>
  <si>
    <t xml:space="preserve">착공 감소의 원인 분해</t>
  </si>
  <si>
    <t xml:space="preserve">1_No.12, 3_No.2</t>
  </si>
  <si>
    <r>
      <rPr>
        <sz val="10"/>
        <rFont val="WenQuanYi Zen Hei"/>
        <family val="2"/>
      </rPr>
      <t xml:space="preserve">신속통합기획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모아타운 대상지별 단계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후보지→구역지정→인가→착공→준공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철회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중단 사유</t>
    </r>
  </si>
  <si>
    <r>
      <rPr>
        <sz val="10"/>
        <rFont val="WenQuanYi Zen Hei"/>
        <family val="2"/>
      </rPr>
      <t xml:space="preserve">구역지정</t>
    </r>
    <r>
      <rPr>
        <sz val="10"/>
        <rFont val="Arial"/>
        <family val="0"/>
        <charset val="1"/>
      </rPr>
      <t xml:space="preserve">=</t>
    </r>
    <r>
      <rPr>
        <sz val="10"/>
        <rFont val="WenQuanYi Zen Hei"/>
        <family val="2"/>
      </rPr>
      <t xml:space="preserve">공급 착시</t>
    </r>
  </si>
  <si>
    <t xml:space="preserve">3_No.3~4</t>
  </si>
  <si>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년 이후 각종 공급 목표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민선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기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대비 연도별 달성률</t>
    </r>
  </si>
  <si>
    <t xml:space="preserve">2_No.13</t>
  </si>
  <si>
    <r>
      <rPr>
        <sz val="10"/>
        <rFont val="WenQuanYi Zen Hei"/>
        <family val="2"/>
      </rPr>
      <t xml:space="preserve">주택실</t>
    </r>
    <r>
      <rPr>
        <sz val="10"/>
        <rFont val="Arial"/>
        <family val="0"/>
        <charset val="1"/>
      </rPr>
      <t xml:space="preserve">/SH</t>
    </r>
  </si>
  <si>
    <r>
      <rPr>
        <sz val="10"/>
        <rFont val="WenQuanYi Zen Hei"/>
        <family val="2"/>
      </rPr>
      <t xml:space="preserve">청년안심주택 보증금 미반환 피해자 반환 완료율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보증보험 미가입 사업장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회수 실적</t>
    </r>
  </si>
  <si>
    <t xml:space="preserve">임대정책 관리 부실</t>
  </si>
  <si>
    <t xml:space="preserve">3_No.5</t>
  </si>
  <si>
    <r>
      <rPr>
        <sz val="10"/>
        <rFont val="WenQuanYi Zen Hei"/>
        <family val="2"/>
      </rPr>
      <t xml:space="preserve">공공임대 연도별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유형별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건설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매입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임차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공급</t>
    </r>
    <r>
      <rPr>
        <sz val="10"/>
        <rFont val="Arial"/>
        <family val="0"/>
        <charset val="1"/>
      </rPr>
      <t xml:space="preserve">, SH </t>
    </r>
    <r>
      <rPr>
        <sz val="10"/>
        <rFont val="WenQuanYi Zen Hei"/>
        <family val="2"/>
      </rPr>
      <t xml:space="preserve">부채 추이</t>
    </r>
  </si>
  <si>
    <t xml:space="preserve">건설형 공공임대 축소</t>
  </si>
  <si>
    <t xml:space="preserve">3_No.6</t>
  </si>
  <si>
    <r>
      <rPr>
        <sz val="10"/>
        <rFont val="Arial"/>
        <family val="0"/>
        <charset val="1"/>
      </rPr>
      <t xml:space="preserve">2025.2 </t>
    </r>
    <r>
      <rPr>
        <sz val="10"/>
        <rFont val="WenQuanYi Zen Hei"/>
        <family val="2"/>
      </rPr>
      <t xml:space="preserve">토허구역 해제 결정 내부 검토문서와 해제기간 거래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분석</t>
    </r>
  </si>
  <si>
    <t xml:space="preserve">집값 책임</t>
  </si>
  <si>
    <t xml:space="preserve">3_No.1</t>
  </si>
  <si>
    <r>
      <rPr>
        <sz val="10"/>
        <rFont val="WenQuanYi Zen Hei"/>
        <family val="2"/>
      </rPr>
      <t xml:space="preserve">백서 제작비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용역계약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인터뷰 대상 섭외 경로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보도자료 결재 라인</t>
    </r>
  </si>
  <si>
    <t xml:space="preserve">행정 중립성</t>
  </si>
  <si>
    <t xml:space="preserve">3_No.13</t>
  </si>
  <si>
    <r>
      <rPr>
        <sz val="10"/>
        <rFont val="WenQuanYi Zen Hei"/>
        <family val="2"/>
      </rPr>
      <t xml:space="preserve">인구 </t>
    </r>
    <r>
      <rPr>
        <sz val="10"/>
        <rFont val="Arial"/>
        <family val="0"/>
        <charset val="1"/>
      </rPr>
      <t xml:space="preserve">-18%, </t>
    </r>
    <r>
      <rPr>
        <sz val="10"/>
        <rFont val="WenQuanYi Zen Hei"/>
        <family val="2"/>
      </rPr>
      <t xml:space="preserve">노후주택 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만호 수치 출처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기준연도</t>
    </r>
  </si>
  <si>
    <t xml:space="preserve">통계 오류 여부</t>
  </si>
  <si>
    <t xml:space="preserve">1_No.18~19</t>
  </si>
  <si>
    <r>
      <rPr>
        <sz val="10"/>
        <rFont val="WenQuanYi Zen Hei"/>
        <family val="2"/>
      </rPr>
      <t xml:space="preserve">조합원 지위양도 제한 유예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이주비 </t>
    </r>
    <r>
      <rPr>
        <sz val="10"/>
        <rFont val="Arial"/>
        <family val="0"/>
        <charset val="1"/>
      </rPr>
      <t xml:space="preserve">LTV </t>
    </r>
    <r>
      <rPr>
        <sz val="10"/>
        <rFont val="WenQuanYi Zen Hei"/>
        <family val="2"/>
      </rPr>
      <t xml:space="preserve">폐지 요구 시 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가계부채 영향 검토자료</t>
    </r>
  </si>
  <si>
    <t xml:space="preserve">규제완화 리스크</t>
  </si>
  <si>
    <t xml:space="preserve">3_No.8</t>
  </si>
  <si>
    <t xml:space="preserve">출처</t>
  </si>
  <si>
    <r>
      <rPr>
        <b val="true"/>
        <sz val="10"/>
        <color rgb="FFFFFFFF"/>
        <rFont val="Arial"/>
        <family val="0"/>
        <charset val="1"/>
      </rPr>
      <t xml:space="preserve">URL/</t>
    </r>
    <r>
      <rPr>
        <b val="true"/>
        <sz val="10"/>
        <color rgb="FFFFFFFF"/>
        <rFont val="WenQuanYi Zen Hei"/>
        <family val="2"/>
      </rPr>
      <t xml:space="preserve">위치</t>
    </r>
  </si>
  <si>
    <t xml:space="preserve">비고</t>
  </si>
  <si>
    <r>
      <rPr>
        <sz val="10"/>
        <rFont val="WenQuanYi Zen Hei"/>
        <family val="2"/>
      </rPr>
      <t xml:space="preserve">서울시 보도자료</t>
    </r>
    <r>
      <rPr>
        <sz val="10"/>
        <rFont val="Arial"/>
        <family val="0"/>
        <charset val="1"/>
      </rPr>
      <t xml:space="preserve">(2026.10.16 </t>
    </r>
    <r>
      <rPr>
        <sz val="10"/>
        <rFont val="WenQuanYi Zen Hei"/>
        <family val="2"/>
      </rPr>
      <t xml:space="preserve">석간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「정비사업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도시재생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조이상 투입 결과…」</t>
    </r>
  </si>
  <si>
    <r>
      <rPr>
        <sz val="10"/>
        <rFont val="WenQuanYi Zen Hei"/>
        <family val="2"/>
      </rPr>
      <t xml:space="preserve">사용자 제공 이미지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쪽</t>
    </r>
  </si>
  <si>
    <t xml:space="preserve">원문</t>
  </si>
  <si>
    <r>
      <rPr>
        <sz val="10"/>
        <rFont val="WenQuanYi Zen Hei"/>
        <family val="2"/>
      </rPr>
      <t xml:space="preserve">서울시 백서 「서울 주택 공급정책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년의 평가와 성찰」</t>
    </r>
  </si>
  <si>
    <r>
      <rPr>
        <sz val="10"/>
        <rFont val="WenQuanYi Zen Hei"/>
        <family val="2"/>
      </rPr>
      <t xml:space="preserve">사용자 제공 </t>
    </r>
    <r>
      <rPr>
        <sz val="10"/>
        <rFont val="Arial"/>
        <family val="0"/>
        <charset val="1"/>
      </rPr>
      <t xml:space="preserve">PDF(61</t>
    </r>
    <r>
      <rPr>
        <sz val="10"/>
        <rFont val="WenQuanYi Zen Hei"/>
        <family val="2"/>
      </rPr>
      <t xml:space="preserve">쪽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</si>
  <si>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아시아투데이 – 서울시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박원순 시정 </t>
    </r>
    <r>
      <rPr>
        <sz val="10"/>
        <rFont val="Arial"/>
        <family val="0"/>
        <charset val="1"/>
      </rPr>
      <t xml:space="preserve">389</t>
    </r>
    <r>
      <rPr>
        <sz val="10"/>
        <rFont val="WenQuanYi Zen Hei"/>
        <family val="2"/>
      </rPr>
      <t xml:space="preserve">곳 해제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보존재생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조원 투입 반성</t>
    </r>
    <r>
      <rPr>
        <sz val="10"/>
        <rFont val="Arial"/>
        <family val="0"/>
        <charset val="1"/>
      </rPr>
      <t xml:space="preserve">'</t>
    </r>
  </si>
  <si>
    <t xml:space="preserve">https://www.asiatoday.co.kr/kn/view.php?key=20261016010005185</t>
  </si>
  <si>
    <t xml:space="preserve">배포 보도</t>
  </si>
  <si>
    <r>
      <rPr>
        <sz val="10"/>
        <rFont val="WenQuanYi Zen Hei"/>
        <family val="2"/>
      </rPr>
      <t xml:space="preserve">헤럴드경제 – 서울시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박원순 시절 직격…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만호 공급 기회 날려</t>
    </r>
  </si>
  <si>
    <t xml:space="preserve">https://biz.heraldcorp.com/article/10904608</t>
  </si>
  <si>
    <t xml:space="preserve">머니투데이 – 공급절벽은 박원순 시정 때문</t>
  </si>
  <si>
    <t xml:space="preserve">https://www.mt.co.kr/estate/2026/10/16/2026101608021040669</t>
  </si>
  <si>
    <r>
      <rPr>
        <sz val="10"/>
        <rFont val="WenQuanYi Zen Hei"/>
        <family val="2"/>
      </rPr>
      <t xml:space="preserve">아이뉴스</t>
    </r>
    <r>
      <rPr>
        <sz val="10"/>
        <rFont val="Arial"/>
        <family val="0"/>
        <charset val="1"/>
      </rPr>
      <t xml:space="preserve">24 – [2026 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한강버스부터 주택공급까지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민주당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격돌</t>
    </r>
  </si>
  <si>
    <t xml:space="preserve">https://m.inews24.com/v/2015584</t>
  </si>
  <si>
    <t xml:space="preserve">국감 쟁점</t>
  </si>
  <si>
    <r>
      <rPr>
        <sz val="10"/>
        <rFont val="WenQuanYi Zen Hei"/>
        <family val="2"/>
      </rPr>
      <t xml:space="preserve">아이뉴스</t>
    </r>
    <r>
      <rPr>
        <sz val="10"/>
        <rFont val="Arial"/>
        <family val="0"/>
        <charset val="1"/>
      </rPr>
      <t xml:space="preserve">24 – </t>
    </r>
    <r>
      <rPr>
        <sz val="10"/>
        <rFont val="WenQuanYi Zen Hei"/>
        <family val="2"/>
      </rPr>
      <t xml:space="preserve">국감부터 행정감사까지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오세훈표 정책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송곳 검증 벼르는 與</t>
    </r>
  </si>
  <si>
    <t xml:space="preserve">https://m.inews24.com/v/2013634</t>
  </si>
  <si>
    <t xml:space="preserve">행감 예고</t>
  </si>
  <si>
    <r>
      <rPr>
        <sz val="10"/>
        <rFont val="WenQuanYi Zen Hei"/>
        <family val="2"/>
      </rPr>
      <t xml:space="preserve">아주경제 – </t>
    </r>
    <r>
      <rPr>
        <sz val="10"/>
        <rFont val="Arial"/>
        <family val="0"/>
        <charset val="1"/>
      </rPr>
      <t xml:space="preserve">[2026 </t>
    </r>
    <r>
      <rPr>
        <sz val="10"/>
        <rFont val="WenQuanYi Zen Hei"/>
        <family val="2"/>
      </rPr>
      <t xml:space="preserve">국정감사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오세훈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올해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5000</t>
    </r>
    <r>
      <rPr>
        <sz val="10"/>
        <rFont val="WenQuanYi Zen Hei"/>
        <family val="2"/>
      </rPr>
      <t xml:space="preserve">호 착공</t>
    </r>
    <r>
      <rPr>
        <sz val="10"/>
        <rFont val="Arial"/>
        <family val="0"/>
        <charset val="1"/>
      </rPr>
      <t xml:space="preserve">'</t>
    </r>
  </si>
  <si>
    <t xml:space="preserve">https://www.ajunews.com/view/20261015114457984</t>
  </si>
  <si>
    <t xml:space="preserve">국감 답변</t>
  </si>
  <si>
    <r>
      <rPr>
        <sz val="10"/>
        <rFont val="WenQuanYi Zen Hei"/>
        <family val="2"/>
      </rPr>
      <t xml:space="preserve">파이낸셜뉴스 – 오세훈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서울집값 핵심은 공급 불확실성</t>
    </r>
    <r>
      <rPr>
        <sz val="10"/>
        <rFont val="Arial"/>
        <family val="0"/>
        <charset val="1"/>
      </rPr>
      <t xml:space="preserve">'</t>
    </r>
  </si>
  <si>
    <t xml:space="preserve">https://www.fnnews.com/news/202610151818486351</t>
  </si>
  <si>
    <r>
      <rPr>
        <sz val="10"/>
        <rFont val="WenQuanYi Zen Hei"/>
        <family val="2"/>
      </rPr>
      <t xml:space="preserve">데일리안 – </t>
    </r>
    <r>
      <rPr>
        <sz val="10"/>
        <rFont val="Arial"/>
        <family val="0"/>
        <charset val="1"/>
      </rPr>
      <t xml:space="preserve">[2026 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오세훈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용산공원 주택 공급 재차 반대</t>
    </r>
  </si>
  <si>
    <t xml:space="preserve">https://www.dailian.co.kr/news/view/1701919/2026-%EA%B5%AD%EA%B0%90-%EC%98%A4%EC%84%B8%ED%9B%88-%EC%9A%A9%EC%82%B0%EA%B3%B5%EC%9B%90-%EC%A3%BC%ED%83%9D-2026</t>
  </si>
  <si>
    <t xml:space="preserve">정부 갈등</t>
  </si>
  <si>
    <r>
      <rPr>
        <sz val="10"/>
        <rFont val="WenQuanYi Zen Hei"/>
        <family val="2"/>
      </rPr>
      <t xml:space="preserve">더팩트 – </t>
    </r>
    <r>
      <rPr>
        <sz val="10"/>
        <rFont val="Arial"/>
        <family val="0"/>
        <charset val="1"/>
      </rPr>
      <t xml:space="preserve">[2026 </t>
    </r>
    <r>
      <rPr>
        <sz val="10"/>
        <rFont val="WenQuanYi Zen Hei"/>
        <family val="2"/>
      </rPr>
      <t xml:space="preserve">국감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한강버스 의혹 난타전…부동산도 이슈</t>
    </r>
  </si>
  <si>
    <t xml:space="preserve">https://news.tf.co.kr/read/life/2376931.htm</t>
  </si>
  <si>
    <t xml:space="preserve">국감 종합</t>
  </si>
  <si>
    <r>
      <rPr>
        <sz val="10"/>
        <rFont val="Arial"/>
        <family val="0"/>
        <charset val="1"/>
      </rPr>
      <t xml:space="preserve">MTN – </t>
    </r>
    <r>
      <rPr>
        <sz val="10"/>
        <rFont val="WenQuanYi Zen Hei"/>
        <family val="2"/>
      </rPr>
      <t xml:space="preserve">고개 숙여 사과한 오세훈…토허제 해제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한달천하</t>
    </r>
    <r>
      <rPr>
        <sz val="10"/>
        <rFont val="Arial"/>
        <family val="0"/>
        <charset val="1"/>
      </rPr>
      <t xml:space="preserve">'</t>
    </r>
  </si>
  <si>
    <t xml:space="preserve">https://news.mtn.co.kr/news-detail/2025031917581879406</t>
  </si>
  <si>
    <t xml:space="preserve">토허제</t>
  </si>
  <si>
    <t xml:space="preserve">뉴시스 – 오세훈 토허제 해제 이후 갭투자 급증</t>
  </si>
  <si>
    <t xml:space="preserve">https://www.newsis.com/view/NISX20250320_0003105459</t>
  </si>
  <si>
    <r>
      <rPr>
        <sz val="10"/>
        <rFont val="WenQuanYi Zen Hei"/>
        <family val="2"/>
      </rPr>
      <t xml:space="preserve">헤럴드 – 오세훈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토허제 해제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재지정은 제 유일한 부동산 실책</t>
    </r>
    <r>
      <rPr>
        <sz val="10"/>
        <rFont val="Arial"/>
        <family val="0"/>
        <charset val="1"/>
      </rPr>
      <t xml:space="preserve">'(2026.5.10)</t>
    </r>
  </si>
  <si>
    <t xml:space="preserve">https://heraldk.com/2026/05/10/</t>
  </si>
  <si>
    <r>
      <rPr>
        <sz val="10"/>
        <rFont val="WenQuanYi Zen Hei"/>
        <family val="2"/>
      </rPr>
      <t xml:space="preserve">헤럴드경제 – 청년안심 세입자 대부분 후순위</t>
    </r>
    <r>
      <rPr>
        <sz val="10"/>
        <rFont val="Arial"/>
        <family val="0"/>
        <charset val="1"/>
      </rPr>
      <t xml:space="preserve">(2025.8.20)</t>
    </r>
  </si>
  <si>
    <t xml:space="preserve">https://www.heraldk.com/article/2025082017165103148</t>
  </si>
  <si>
    <t xml:space="preserve">청년안심주택</t>
  </si>
  <si>
    <r>
      <rPr>
        <sz val="10"/>
        <rFont val="WenQuanYi Zen Hei"/>
        <family val="2"/>
      </rPr>
      <t xml:space="preserve">서울시의회 박승진 의원 – 청년안심주택 보증금 미반환 사태</t>
    </r>
    <r>
      <rPr>
        <sz val="10"/>
        <rFont val="Arial"/>
        <family val="0"/>
        <charset val="1"/>
      </rPr>
      <t xml:space="preserve">(2025.11.6)</t>
    </r>
  </si>
  <si>
    <t xml:space="preserve">https://m.go.seoul.co.kr/news/publicnews/local_govern/smc_movement/2025/11/06/20251106500049</t>
  </si>
  <si>
    <r>
      <rPr>
        <sz val="10"/>
        <rFont val="WenQuanYi Zen Hei"/>
        <family val="2"/>
      </rPr>
      <t xml:space="preserve">비즈한국 – 사직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구역 직권해제 무효 이후 조합원 자격 공방</t>
    </r>
    <r>
      <rPr>
        <sz val="10"/>
        <rFont val="Arial"/>
        <family val="0"/>
        <charset val="1"/>
      </rPr>
      <t xml:space="preserve">(2019.9)</t>
    </r>
  </si>
  <si>
    <t xml:space="preserve">https://www.bizhankook.com/bk/article/18487</t>
  </si>
  <si>
    <r>
      <rPr>
        <sz val="10"/>
        <rFont val="WenQuanYi Zen Hei"/>
        <family val="2"/>
      </rPr>
      <t xml:space="preserve">사직</t>
    </r>
    <r>
      <rPr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</si>
  <si>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한국경제 – 옥인</t>
    </r>
    <r>
      <rPr>
        <sz val="10"/>
        <rFont val="Arial"/>
        <family val="0"/>
        <charset val="1"/>
      </rPr>
      <t xml:space="preserve">1·</t>
    </r>
    <r>
      <rPr>
        <sz val="10"/>
        <rFont val="WenQuanYi Zen Hei"/>
        <family val="2"/>
      </rPr>
      <t xml:space="preserve">충신</t>
    </r>
    <r>
      <rPr>
        <sz val="10"/>
        <rFont val="Arial"/>
        <family val="0"/>
        <charset val="1"/>
      </rPr>
      <t xml:space="preserve">1·</t>
    </r>
    <r>
      <rPr>
        <sz val="10"/>
        <rFont val="WenQuanYi Zen Hei"/>
        <family val="2"/>
      </rPr>
      <t xml:space="preserve">사직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등 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곳 뉴타운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재개발 해제</t>
    </r>
    <r>
      <rPr>
        <sz val="10"/>
        <rFont val="Arial"/>
        <family val="0"/>
        <charset val="1"/>
      </rPr>
      <t xml:space="preserve">(2017.3.16)</t>
    </r>
  </si>
  <si>
    <t xml:space="preserve">https://www.hankyung.com/amp/2017031653701</t>
  </si>
  <si>
    <r>
      <rPr>
        <sz val="10"/>
        <rFont val="WenQuanYi Zen Hei"/>
        <family val="2"/>
      </rPr>
      <t xml:space="preserve">한국경제 – 장위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대법원 해제 무효</t>
    </r>
    <r>
      <rPr>
        <sz val="10"/>
        <rFont val="Arial"/>
        <family val="0"/>
        <charset val="1"/>
      </rPr>
      <t xml:space="preserve">(2021.1.15)</t>
    </r>
  </si>
  <si>
    <t xml:space="preserve">https://www.hankyung.com/amp/2021011574241</t>
  </si>
  <si>
    <r>
      <rPr>
        <sz val="10"/>
        <rFont val="WenQuanYi Zen Hei"/>
        <family val="2"/>
      </rPr>
      <t xml:space="preserve">장위</t>
    </r>
    <r>
      <rPr>
        <sz val="10"/>
        <rFont val="Arial"/>
        <family val="0"/>
        <charset val="1"/>
      </rPr>
      <t xml:space="preserve">15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</si>
</sst>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1" t="s">
        <v>0</v>
      </c>
      <c r="B1" s="2" t="s">
        <v>1</v>
      </c>
    </row>
    <row r="2" customFormat="false" ht="26.85" hidden="false" customHeight="false" outlineLevel="0" collapsed="false">
      <c r="A2" s="1" t="s">
        <v>2</v>
      </c>
      <c r="B2" s="3" t="s">
        <v>3</v>
      </c>
    </row>
    <row r="3" customFormat="false" ht="39.55" hidden="false" customHeight="false" outlineLevel="0" collapsed="false">
      <c r="A3" s="1" t="s">
        <v>4</v>
      </c>
      <c r="B3" s="2" t="s">
        <v>5</v>
      </c>
    </row>
    <row r="4" customFormat="false" ht="39.55" hidden="false" customHeight="false" outlineLevel="0" collapsed="false">
      <c r="A4" s="1" t="s">
        <v>6</v>
      </c>
      <c r="B4" s="2" t="s">
        <v>7</v>
      </c>
    </row>
    <row r="5" customFormat="false" ht="52.2" hidden="false" customHeight="false" outlineLevel="0" collapsed="false">
      <c r="A5" s="1" t="s">
        <v>8</v>
      </c>
      <c r="B5" s="2" t="s">
        <v>9</v>
      </c>
    </row>
    <row r="6" customFormat="false" ht="26.85" hidden="false" customHeight="false" outlineLevel="0" collapsed="false">
      <c r="A6" s="1" t="s">
        <v>10</v>
      </c>
      <c r="B6" s="3" t="s">
        <v>11</v>
      </c>
    </row>
    <row r="7" customFormat="false" ht="26.85" hidden="false" customHeight="false" outlineLevel="0" collapsed="false">
      <c r="A7" s="1" t="s">
        <v>12</v>
      </c>
      <c r="B7" s="2" t="s">
        <v>13</v>
      </c>
    </row>
    <row r="8" customFormat="false" ht="26.85" hidden="false" customHeight="false" outlineLevel="0" collapsed="false">
      <c r="A8" s="1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60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4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</row>
    <row r="2" customFormat="false" ht="64.9" hidden="false" customHeight="false" outlineLevel="0" collapsed="false">
      <c r="A2" s="2" t="n">
        <v>1</v>
      </c>
      <c r="B2" s="2" t="s">
        <v>23</v>
      </c>
      <c r="C2" s="2" t="s">
        <v>24</v>
      </c>
      <c r="D2" s="2" t="s">
        <v>25</v>
      </c>
      <c r="E2" s="6" t="s">
        <v>26</v>
      </c>
      <c r="F2" s="2" t="s">
        <v>27</v>
      </c>
      <c r="G2" s="2" t="s">
        <v>28</v>
      </c>
    </row>
    <row r="3" customFormat="false" ht="39.55" hidden="false" customHeight="false" outlineLevel="0" collapsed="false">
      <c r="A3" s="2" t="n">
        <v>2</v>
      </c>
      <c r="B3" s="2" t="s">
        <v>29</v>
      </c>
      <c r="C3" s="2" t="s">
        <v>30</v>
      </c>
      <c r="D3" s="2" t="s">
        <v>31</v>
      </c>
      <c r="E3" s="6" t="s">
        <v>26</v>
      </c>
      <c r="F3" s="2" t="s">
        <v>32</v>
      </c>
      <c r="G3" s="3" t="s">
        <v>33</v>
      </c>
    </row>
    <row r="4" customFormat="false" ht="52.2" hidden="false" customHeight="false" outlineLevel="0" collapsed="false">
      <c r="A4" s="2" t="n">
        <v>3</v>
      </c>
      <c r="B4" s="2" t="s">
        <v>34</v>
      </c>
      <c r="C4" s="2" t="s">
        <v>35</v>
      </c>
      <c r="D4" s="3" t="s">
        <v>36</v>
      </c>
      <c r="E4" s="6" t="s">
        <v>26</v>
      </c>
      <c r="F4" s="2" t="s">
        <v>37</v>
      </c>
      <c r="G4" s="2" t="s">
        <v>38</v>
      </c>
    </row>
    <row r="5" customFormat="false" ht="52.2" hidden="false" customHeight="false" outlineLevel="0" collapsed="false">
      <c r="A5" s="2" t="n">
        <v>4</v>
      </c>
      <c r="B5" s="3" t="s">
        <v>39</v>
      </c>
      <c r="C5" s="3" t="s">
        <v>40</v>
      </c>
      <c r="D5" s="2" t="s">
        <v>41</v>
      </c>
      <c r="E5" s="7" t="s">
        <v>42</v>
      </c>
      <c r="F5" s="2" t="s">
        <v>43</v>
      </c>
      <c r="G5" s="3" t="s">
        <v>44</v>
      </c>
    </row>
    <row r="6" customFormat="false" ht="77.6" hidden="false" customHeight="false" outlineLevel="0" collapsed="false">
      <c r="A6" s="2" t="n">
        <v>5</v>
      </c>
      <c r="B6" s="3" t="s">
        <v>45</v>
      </c>
      <c r="C6" s="3" t="s">
        <v>46</v>
      </c>
      <c r="D6" s="2" t="s">
        <v>47</v>
      </c>
      <c r="E6" s="7" t="s">
        <v>48</v>
      </c>
      <c r="F6" s="2" t="s">
        <v>49</v>
      </c>
      <c r="G6" s="3" t="s">
        <v>50</v>
      </c>
    </row>
    <row r="7" customFormat="false" ht="64.9" hidden="false" customHeight="false" outlineLevel="0" collapsed="false">
      <c r="A7" s="2" t="n">
        <v>6</v>
      </c>
      <c r="B7" s="2" t="s">
        <v>51</v>
      </c>
      <c r="C7" s="2" t="s">
        <v>52</v>
      </c>
      <c r="D7" s="2" t="s">
        <v>53</v>
      </c>
      <c r="E7" s="7" t="s">
        <v>48</v>
      </c>
      <c r="F7" s="2" t="s">
        <v>54</v>
      </c>
      <c r="G7" s="2" t="s">
        <v>55</v>
      </c>
    </row>
    <row r="8" customFormat="false" ht="52.2" hidden="false" customHeight="false" outlineLevel="0" collapsed="false">
      <c r="A8" s="2" t="n">
        <v>7</v>
      </c>
      <c r="B8" s="2" t="s">
        <v>56</v>
      </c>
      <c r="C8" s="2" t="s">
        <v>57</v>
      </c>
      <c r="D8" s="3" t="s">
        <v>58</v>
      </c>
      <c r="E8" s="8" t="s">
        <v>59</v>
      </c>
      <c r="F8" s="2" t="s">
        <v>60</v>
      </c>
      <c r="G8" s="2" t="s">
        <v>61</v>
      </c>
    </row>
    <row r="9" customFormat="false" ht="52.2" hidden="false" customHeight="false" outlineLevel="0" collapsed="false">
      <c r="A9" s="2" t="n">
        <v>8</v>
      </c>
      <c r="B9" s="2" t="s">
        <v>62</v>
      </c>
      <c r="C9" s="2" t="s">
        <v>63</v>
      </c>
      <c r="D9" s="2" t="s">
        <v>64</v>
      </c>
      <c r="E9" s="6" t="s">
        <v>26</v>
      </c>
      <c r="F9" s="2" t="s">
        <v>65</v>
      </c>
      <c r="G9" s="3" t="s">
        <v>66</v>
      </c>
    </row>
    <row r="10" customFormat="false" ht="26.85" hidden="false" customHeight="false" outlineLevel="0" collapsed="false">
      <c r="A10" s="2" t="n">
        <v>9</v>
      </c>
      <c r="B10" s="2" t="s">
        <v>67</v>
      </c>
      <c r="C10" s="2" t="s">
        <v>68</v>
      </c>
      <c r="D10" s="2" t="s">
        <v>69</v>
      </c>
      <c r="E10" s="8" t="s">
        <v>70</v>
      </c>
      <c r="F10" s="2" t="s">
        <v>71</v>
      </c>
      <c r="G10" s="3" t="s">
        <v>72</v>
      </c>
    </row>
    <row r="11" customFormat="false" ht="39.55" hidden="false" customHeight="false" outlineLevel="0" collapsed="false">
      <c r="A11" s="2" t="n">
        <v>10</v>
      </c>
      <c r="B11" s="2" t="s">
        <v>73</v>
      </c>
      <c r="C11" s="2" t="s">
        <v>74</v>
      </c>
      <c r="D11" s="2" t="s">
        <v>75</v>
      </c>
      <c r="E11" s="7" t="s">
        <v>42</v>
      </c>
      <c r="F11" s="2" t="s">
        <v>76</v>
      </c>
      <c r="G11" s="2" t="s">
        <v>77</v>
      </c>
    </row>
    <row r="12" customFormat="false" ht="39.55" hidden="false" customHeight="false" outlineLevel="0" collapsed="false">
      <c r="A12" s="2" t="n">
        <v>11</v>
      </c>
      <c r="B12" s="2" t="s">
        <v>78</v>
      </c>
      <c r="C12" s="2" t="s">
        <v>79</v>
      </c>
      <c r="D12" s="3" t="s">
        <v>80</v>
      </c>
      <c r="E12" s="7" t="s">
        <v>42</v>
      </c>
      <c r="F12" s="2" t="s">
        <v>81</v>
      </c>
      <c r="G12" s="2" t="s">
        <v>82</v>
      </c>
    </row>
    <row r="13" customFormat="false" ht="64.9" hidden="false" customHeight="false" outlineLevel="0" collapsed="false">
      <c r="A13" s="2" t="n">
        <v>12</v>
      </c>
      <c r="B13" s="2" t="s">
        <v>83</v>
      </c>
      <c r="C13" s="3" t="s">
        <v>84</v>
      </c>
      <c r="D13" s="2" t="s">
        <v>85</v>
      </c>
      <c r="E13" s="6" t="s">
        <v>26</v>
      </c>
      <c r="F13" s="2" t="s">
        <v>86</v>
      </c>
      <c r="G13" s="2" t="s">
        <v>87</v>
      </c>
    </row>
    <row r="14" customFormat="false" ht="52.2" hidden="false" customHeight="false" outlineLevel="0" collapsed="false">
      <c r="A14" s="2" t="n">
        <v>13</v>
      </c>
      <c r="B14" s="2" t="s">
        <v>88</v>
      </c>
      <c r="C14" s="2" t="s">
        <v>89</v>
      </c>
      <c r="D14" s="2" t="s">
        <v>90</v>
      </c>
      <c r="E14" s="7" t="s">
        <v>48</v>
      </c>
      <c r="F14" s="2" t="s">
        <v>91</v>
      </c>
      <c r="G14" s="2" t="s">
        <v>92</v>
      </c>
    </row>
    <row r="15" customFormat="false" ht="26.85" hidden="false" customHeight="false" outlineLevel="0" collapsed="false">
      <c r="A15" s="2" t="n">
        <v>14</v>
      </c>
      <c r="B15" s="2" t="s">
        <v>93</v>
      </c>
      <c r="C15" s="2" t="s">
        <v>94</v>
      </c>
      <c r="D15" s="2" t="s">
        <v>95</v>
      </c>
      <c r="E15" s="7" t="s">
        <v>48</v>
      </c>
      <c r="F15" s="2" t="s">
        <v>96</v>
      </c>
      <c r="G15" s="2" t="s">
        <v>97</v>
      </c>
    </row>
    <row r="16" customFormat="false" ht="39.55" hidden="false" customHeight="false" outlineLevel="0" collapsed="false">
      <c r="A16" s="2" t="n">
        <v>15</v>
      </c>
      <c r="B16" s="2" t="s">
        <v>98</v>
      </c>
      <c r="C16" s="3" t="s">
        <v>99</v>
      </c>
      <c r="D16" s="2" t="s">
        <v>100</v>
      </c>
      <c r="E16" s="8" t="s">
        <v>59</v>
      </c>
      <c r="F16" s="2" t="s">
        <v>101</v>
      </c>
      <c r="G16" s="3" t="s">
        <v>72</v>
      </c>
    </row>
    <row r="17" customFormat="false" ht="52.2" hidden="false" customHeight="false" outlineLevel="0" collapsed="false">
      <c r="A17" s="2" t="n">
        <v>16</v>
      </c>
      <c r="B17" s="3" t="s">
        <v>102</v>
      </c>
      <c r="C17" s="3" t="s">
        <v>103</v>
      </c>
      <c r="D17" s="3" t="s">
        <v>104</v>
      </c>
      <c r="E17" s="6" t="s">
        <v>26</v>
      </c>
      <c r="F17" s="2" t="s">
        <v>105</v>
      </c>
      <c r="G17" s="2" t="s">
        <v>106</v>
      </c>
    </row>
    <row r="18" customFormat="false" ht="39.55" hidden="false" customHeight="false" outlineLevel="0" collapsed="false">
      <c r="A18" s="2" t="n">
        <v>17</v>
      </c>
      <c r="B18" s="2" t="s">
        <v>107</v>
      </c>
      <c r="C18" s="2" t="s">
        <v>108</v>
      </c>
      <c r="D18" s="2" t="s">
        <v>109</v>
      </c>
      <c r="E18" s="7" t="s">
        <v>42</v>
      </c>
      <c r="F18" s="2" t="s">
        <v>110</v>
      </c>
      <c r="G18" s="2" t="s">
        <v>111</v>
      </c>
    </row>
    <row r="19" customFormat="false" ht="39.55" hidden="false" customHeight="false" outlineLevel="0" collapsed="false">
      <c r="A19" s="2" t="n">
        <v>18</v>
      </c>
      <c r="B19" s="2" t="s">
        <v>112</v>
      </c>
      <c r="C19" s="2" t="s">
        <v>113</v>
      </c>
      <c r="D19" s="2" t="s">
        <v>114</v>
      </c>
      <c r="E19" s="9" t="s">
        <v>115</v>
      </c>
      <c r="F19" s="2" t="s">
        <v>116</v>
      </c>
      <c r="G19" s="2" t="s">
        <v>117</v>
      </c>
    </row>
    <row r="20" customFormat="false" ht="26.85" hidden="false" customHeight="false" outlineLevel="0" collapsed="false">
      <c r="A20" s="2" t="n">
        <v>19</v>
      </c>
      <c r="B20" s="2" t="s">
        <v>118</v>
      </c>
      <c r="C20" s="2" t="s">
        <v>119</v>
      </c>
      <c r="D20" s="2" t="s">
        <v>120</v>
      </c>
      <c r="E20" s="10" t="s">
        <v>121</v>
      </c>
      <c r="F20" s="2" t="s">
        <v>122</v>
      </c>
      <c r="G20" s="2" t="s">
        <v>123</v>
      </c>
    </row>
    <row r="21" customFormat="false" ht="39.55" hidden="false" customHeight="false" outlineLevel="0" collapsed="false">
      <c r="A21" s="2" t="n">
        <v>20</v>
      </c>
      <c r="B21" s="2" t="s">
        <v>124</v>
      </c>
      <c r="C21" s="2" t="s">
        <v>125</v>
      </c>
      <c r="D21" s="2" t="s">
        <v>126</v>
      </c>
      <c r="E21" s="9" t="s">
        <v>127</v>
      </c>
      <c r="F21" s="2" t="s">
        <v>128</v>
      </c>
      <c r="G21" s="2" t="s">
        <v>129</v>
      </c>
    </row>
    <row r="22" customFormat="false" ht="39.55" hidden="false" customHeight="false" outlineLevel="0" collapsed="false">
      <c r="A22" s="2" t="n">
        <v>21</v>
      </c>
      <c r="B22" s="2" t="s">
        <v>130</v>
      </c>
      <c r="C22" s="3" t="s">
        <v>131</v>
      </c>
      <c r="D22" s="2" t="s">
        <v>132</v>
      </c>
      <c r="E22" s="9" t="s">
        <v>127</v>
      </c>
      <c r="F22" s="2" t="s">
        <v>133</v>
      </c>
      <c r="G22" s="2" t="s">
        <v>134</v>
      </c>
    </row>
  </sheetData>
  <autoFilter ref="A1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55"/>
    <col collapsed="false" customWidth="true" hidden="false" outlineLevel="0" max="6" min="6" style="0" width="9"/>
  </cols>
  <sheetData>
    <row r="1" customFormat="false" ht="15" hidden="false" customHeight="false" outlineLevel="0" collapsed="false">
      <c r="A1" s="4" t="s">
        <v>16</v>
      </c>
      <c r="B1" s="5" t="s">
        <v>135</v>
      </c>
      <c r="C1" s="5" t="s">
        <v>136</v>
      </c>
      <c r="D1" s="5" t="s">
        <v>137</v>
      </c>
      <c r="E1" s="5" t="s">
        <v>138</v>
      </c>
      <c r="F1" s="5" t="s">
        <v>139</v>
      </c>
    </row>
    <row r="2" customFormat="false" ht="26.85" hidden="false" customHeight="false" outlineLevel="0" collapsed="false">
      <c r="A2" s="2" t="n">
        <v>1</v>
      </c>
      <c r="B2" s="2" t="s">
        <v>140</v>
      </c>
      <c r="C2" s="3" t="s">
        <v>141</v>
      </c>
      <c r="D2" s="2" t="s">
        <v>142</v>
      </c>
      <c r="E2" s="3" t="s">
        <v>143</v>
      </c>
      <c r="F2" s="2" t="s">
        <v>144</v>
      </c>
    </row>
    <row r="3" customFormat="false" ht="39.55" hidden="false" customHeight="false" outlineLevel="0" collapsed="false">
      <c r="A3" s="2" t="n">
        <v>2</v>
      </c>
      <c r="B3" s="2" t="s">
        <v>145</v>
      </c>
      <c r="C3" s="3" t="s">
        <v>146</v>
      </c>
      <c r="D3" s="2" t="s">
        <v>147</v>
      </c>
      <c r="E3" s="2" t="s">
        <v>148</v>
      </c>
      <c r="F3" s="2" t="s">
        <v>144</v>
      </c>
    </row>
    <row r="4" customFormat="false" ht="26.85" hidden="false" customHeight="false" outlineLevel="0" collapsed="false">
      <c r="A4" s="2" t="n">
        <v>3</v>
      </c>
      <c r="B4" s="2" t="s">
        <v>149</v>
      </c>
      <c r="C4" s="3" t="s">
        <v>150</v>
      </c>
      <c r="D4" s="2" t="s">
        <v>151</v>
      </c>
      <c r="E4" s="2" t="s">
        <v>152</v>
      </c>
      <c r="F4" s="2" t="s">
        <v>144</v>
      </c>
    </row>
    <row r="5" customFormat="false" ht="26.85" hidden="false" customHeight="false" outlineLevel="0" collapsed="false">
      <c r="A5" s="2" t="n">
        <v>4</v>
      </c>
      <c r="B5" s="2" t="s">
        <v>153</v>
      </c>
      <c r="C5" s="3" t="s">
        <v>154</v>
      </c>
      <c r="D5" s="2" t="s">
        <v>155</v>
      </c>
      <c r="E5" s="2" t="s">
        <v>156</v>
      </c>
      <c r="F5" s="2" t="s">
        <v>157</v>
      </c>
    </row>
    <row r="6" customFormat="false" ht="15" hidden="false" customHeight="false" outlineLevel="0" collapsed="false">
      <c r="A6" s="2" t="n">
        <v>5</v>
      </c>
      <c r="B6" s="2" t="s">
        <v>158</v>
      </c>
      <c r="C6" s="3" t="s">
        <v>159</v>
      </c>
      <c r="D6" s="2" t="s">
        <v>160</v>
      </c>
      <c r="E6" s="3" t="s">
        <v>161</v>
      </c>
      <c r="F6" s="2" t="s">
        <v>144</v>
      </c>
    </row>
    <row r="7" customFormat="false" ht="26.85" hidden="false" customHeight="false" outlineLevel="0" collapsed="false">
      <c r="A7" s="2" t="n">
        <v>6</v>
      </c>
      <c r="B7" s="2" t="s">
        <v>162</v>
      </c>
      <c r="C7" s="3" t="s">
        <v>163</v>
      </c>
      <c r="D7" s="2" t="s">
        <v>164</v>
      </c>
      <c r="E7" s="3" t="s">
        <v>165</v>
      </c>
      <c r="F7" s="2" t="s">
        <v>144</v>
      </c>
    </row>
    <row r="8" customFormat="false" ht="15" hidden="false" customHeight="false" outlineLevel="0" collapsed="false">
      <c r="A8" s="2" t="n">
        <v>7</v>
      </c>
      <c r="B8" s="2" t="s">
        <v>166</v>
      </c>
      <c r="C8" s="2" t="s">
        <v>167</v>
      </c>
      <c r="D8" s="3" t="s">
        <v>168</v>
      </c>
      <c r="E8" s="3" t="s">
        <v>169</v>
      </c>
      <c r="F8" s="2" t="s">
        <v>144</v>
      </c>
    </row>
    <row r="9" customFormat="false" ht="26.85" hidden="false" customHeight="false" outlineLevel="0" collapsed="false">
      <c r="A9" s="2" t="n">
        <v>8</v>
      </c>
      <c r="B9" s="2" t="s">
        <v>170</v>
      </c>
      <c r="C9" s="2" t="s">
        <v>171</v>
      </c>
      <c r="D9" s="2" t="s">
        <v>172</v>
      </c>
      <c r="E9" s="2" t="s">
        <v>173</v>
      </c>
      <c r="F9" s="2" t="s">
        <v>157</v>
      </c>
    </row>
    <row r="10" customFormat="false" ht="15" hidden="false" customHeight="false" outlineLevel="0" collapsed="false">
      <c r="A10" s="2" t="n">
        <v>9</v>
      </c>
      <c r="B10" s="2" t="s">
        <v>174</v>
      </c>
      <c r="C10" s="3" t="s">
        <v>175</v>
      </c>
      <c r="D10" s="2" t="s">
        <v>176</v>
      </c>
      <c r="E10" s="2" t="s">
        <v>177</v>
      </c>
      <c r="F10" s="2" t="s">
        <v>157</v>
      </c>
    </row>
    <row r="11" customFormat="false" ht="26.85" hidden="false" customHeight="false" outlineLevel="0" collapsed="false">
      <c r="A11" s="2" t="n">
        <v>10</v>
      </c>
      <c r="B11" s="2" t="s">
        <v>178</v>
      </c>
      <c r="C11" s="2" t="s">
        <v>179</v>
      </c>
      <c r="D11" s="2" t="s">
        <v>180</v>
      </c>
      <c r="E11" s="2" t="s">
        <v>181</v>
      </c>
      <c r="F11" s="2" t="s">
        <v>157</v>
      </c>
    </row>
    <row r="12" customFormat="false" ht="26.85" hidden="false" customHeight="false" outlineLevel="0" collapsed="false">
      <c r="A12" s="2" t="n">
        <v>11</v>
      </c>
      <c r="B12" s="2" t="s">
        <v>182</v>
      </c>
      <c r="C12" s="2" t="s">
        <v>183</v>
      </c>
      <c r="D12" s="2" t="s">
        <v>184</v>
      </c>
      <c r="E12" s="3" t="s">
        <v>185</v>
      </c>
      <c r="F12" s="2" t="s">
        <v>144</v>
      </c>
    </row>
    <row r="13" customFormat="false" ht="26.85" hidden="false" customHeight="false" outlineLevel="0" collapsed="false">
      <c r="A13" s="2" t="n">
        <v>12</v>
      </c>
      <c r="B13" s="2" t="s">
        <v>186</v>
      </c>
      <c r="C13" s="2" t="s">
        <v>187</v>
      </c>
      <c r="D13" s="2" t="s">
        <v>188</v>
      </c>
      <c r="E13" s="2" t="s">
        <v>189</v>
      </c>
      <c r="F13" s="2" t="s">
        <v>157</v>
      </c>
    </row>
    <row r="14" customFormat="false" ht="26.85" hidden="false" customHeight="false" outlineLevel="0" collapsed="false">
      <c r="A14" s="2" t="n">
        <v>13</v>
      </c>
      <c r="B14" s="2" t="s">
        <v>190</v>
      </c>
      <c r="C14" s="3" t="s">
        <v>191</v>
      </c>
      <c r="D14" s="2" t="s">
        <v>192</v>
      </c>
      <c r="E14" s="2" t="s">
        <v>193</v>
      </c>
      <c r="F14" s="2" t="s">
        <v>144</v>
      </c>
    </row>
    <row r="15" customFormat="false" ht="26.85" hidden="false" customHeight="false" outlineLevel="0" collapsed="false">
      <c r="A15" s="2" t="n">
        <v>14</v>
      </c>
      <c r="B15" s="2" t="s">
        <v>194</v>
      </c>
      <c r="C15" s="2" t="s">
        <v>195</v>
      </c>
      <c r="D15" s="2" t="s">
        <v>196</v>
      </c>
      <c r="E15" s="2" t="s">
        <v>197</v>
      </c>
      <c r="F15" s="2" t="s">
        <v>157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4" t="s">
        <v>16</v>
      </c>
      <c r="B1" s="5" t="s">
        <v>198</v>
      </c>
      <c r="C1" s="5" t="s">
        <v>199</v>
      </c>
      <c r="D1" s="5" t="s">
        <v>137</v>
      </c>
      <c r="E1" s="5" t="s">
        <v>200</v>
      </c>
      <c r="F1" s="5" t="s">
        <v>201</v>
      </c>
      <c r="G1" s="5" t="s">
        <v>202</v>
      </c>
    </row>
    <row r="2" customFormat="false" ht="52.2" hidden="false" customHeight="false" outlineLevel="0" collapsed="false">
      <c r="A2" s="2" t="n">
        <v>1</v>
      </c>
      <c r="B2" s="2" t="s">
        <v>203</v>
      </c>
      <c r="C2" s="3" t="s">
        <v>204</v>
      </c>
      <c r="D2" s="3" t="s">
        <v>205</v>
      </c>
      <c r="E2" s="3" t="s">
        <v>206</v>
      </c>
      <c r="F2" s="2" t="s">
        <v>207</v>
      </c>
      <c r="G2" s="2" t="s">
        <v>208</v>
      </c>
    </row>
    <row r="3" customFormat="false" ht="39.55" hidden="false" customHeight="false" outlineLevel="0" collapsed="false">
      <c r="A3" s="2" t="n">
        <v>2</v>
      </c>
      <c r="B3" s="2" t="s">
        <v>209</v>
      </c>
      <c r="C3" s="2" t="s">
        <v>210</v>
      </c>
      <c r="D3" s="2" t="s">
        <v>211</v>
      </c>
      <c r="E3" s="2" t="s">
        <v>212</v>
      </c>
      <c r="F3" s="2" t="s">
        <v>213</v>
      </c>
      <c r="G3" s="3" t="s">
        <v>214</v>
      </c>
    </row>
    <row r="4" customFormat="false" ht="52.2" hidden="false" customHeight="false" outlineLevel="0" collapsed="false">
      <c r="A4" s="2" t="n">
        <v>3</v>
      </c>
      <c r="B4" s="2" t="s">
        <v>215</v>
      </c>
      <c r="C4" s="3" t="s">
        <v>216</v>
      </c>
      <c r="D4" s="2" t="s">
        <v>217</v>
      </c>
      <c r="E4" s="2" t="s">
        <v>218</v>
      </c>
      <c r="F4" s="3" t="s">
        <v>219</v>
      </c>
      <c r="G4" s="2" t="s">
        <v>220</v>
      </c>
    </row>
    <row r="5" customFormat="false" ht="52.2" hidden="false" customHeight="false" outlineLevel="0" collapsed="false">
      <c r="A5" s="2" t="n">
        <v>4</v>
      </c>
      <c r="B5" s="2" t="s">
        <v>221</v>
      </c>
      <c r="C5" s="3" t="s">
        <v>222</v>
      </c>
      <c r="D5" s="2" t="s">
        <v>223</v>
      </c>
      <c r="E5" s="2" t="s">
        <v>224</v>
      </c>
      <c r="F5" s="3" t="s">
        <v>225</v>
      </c>
      <c r="G5" s="2" t="s">
        <v>226</v>
      </c>
    </row>
    <row r="6" customFormat="false" ht="64.9" hidden="false" customHeight="false" outlineLevel="0" collapsed="false">
      <c r="A6" s="2" t="n">
        <v>5</v>
      </c>
      <c r="B6" s="2" t="s">
        <v>227</v>
      </c>
      <c r="C6" s="3" t="s">
        <v>228</v>
      </c>
      <c r="D6" s="3" t="s">
        <v>229</v>
      </c>
      <c r="E6" s="3" t="s">
        <v>230</v>
      </c>
      <c r="F6" s="2" t="s">
        <v>231</v>
      </c>
      <c r="G6" s="2" t="s">
        <v>232</v>
      </c>
    </row>
    <row r="7" customFormat="false" ht="52.2" hidden="false" customHeight="false" outlineLevel="0" collapsed="false">
      <c r="A7" s="2" t="n">
        <v>6</v>
      </c>
      <c r="B7" s="2" t="s">
        <v>233</v>
      </c>
      <c r="C7" s="3" t="s">
        <v>234</v>
      </c>
      <c r="D7" s="3" t="s">
        <v>235</v>
      </c>
      <c r="E7" s="2" t="s">
        <v>236</v>
      </c>
      <c r="F7" s="2" t="s">
        <v>237</v>
      </c>
      <c r="G7" s="2" t="s">
        <v>238</v>
      </c>
    </row>
    <row r="8" customFormat="false" ht="39.55" hidden="false" customHeight="false" outlineLevel="0" collapsed="false">
      <c r="A8" s="2" t="n">
        <v>7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2" t="s">
        <v>244</v>
      </c>
    </row>
    <row r="9" customFormat="false" ht="39.55" hidden="false" customHeight="false" outlineLevel="0" collapsed="false">
      <c r="A9" s="2" t="n">
        <v>8</v>
      </c>
      <c r="B9" s="2" t="s">
        <v>245</v>
      </c>
      <c r="C9" s="2" t="s">
        <v>246</v>
      </c>
      <c r="D9" s="2" t="s">
        <v>247</v>
      </c>
      <c r="E9" s="2" t="s">
        <v>248</v>
      </c>
      <c r="F9" s="2" t="s">
        <v>249</v>
      </c>
      <c r="G9" s="2" t="s">
        <v>250</v>
      </c>
    </row>
    <row r="10" customFormat="false" ht="39.55" hidden="false" customHeight="false" outlineLevel="0" collapsed="false">
      <c r="A10" s="2" t="n">
        <v>9</v>
      </c>
      <c r="B10" s="2" t="s">
        <v>251</v>
      </c>
      <c r="C10" s="2" t="s">
        <v>252</v>
      </c>
      <c r="D10" s="3" t="s">
        <v>253</v>
      </c>
      <c r="E10" s="2" t="s">
        <v>254</v>
      </c>
      <c r="F10" s="2" t="s">
        <v>255</v>
      </c>
      <c r="G10" s="2" t="s">
        <v>256</v>
      </c>
    </row>
    <row r="11" customFormat="false" ht="26.85" hidden="false" customHeight="false" outlineLevel="0" collapsed="false">
      <c r="A11" s="2" t="n">
        <v>10</v>
      </c>
      <c r="B11" s="2" t="s">
        <v>257</v>
      </c>
      <c r="C11" s="2" t="s">
        <v>258</v>
      </c>
      <c r="D11" s="3" t="s">
        <v>259</v>
      </c>
      <c r="E11" s="2" t="s">
        <v>260</v>
      </c>
      <c r="F11" s="2" t="s">
        <v>261</v>
      </c>
      <c r="G11" s="2" t="s">
        <v>262</v>
      </c>
    </row>
    <row r="12" customFormat="false" ht="39.55" hidden="false" customHeight="false" outlineLevel="0" collapsed="false">
      <c r="A12" s="2" t="n">
        <v>11</v>
      </c>
      <c r="B12" s="2" t="s">
        <v>263</v>
      </c>
      <c r="C12" s="2" t="s">
        <v>264</v>
      </c>
      <c r="D12" s="2" t="s">
        <v>265</v>
      </c>
      <c r="E12" s="2" t="s">
        <v>266</v>
      </c>
      <c r="F12" s="2" t="s">
        <v>267</v>
      </c>
      <c r="G12" s="2" t="s">
        <v>268</v>
      </c>
    </row>
    <row r="13" customFormat="false" ht="26.85" hidden="false" customHeight="false" outlineLevel="0" collapsed="false">
      <c r="A13" s="2" t="n">
        <v>12</v>
      </c>
      <c r="B13" s="2" t="s">
        <v>269</v>
      </c>
      <c r="C13" s="2" t="s">
        <v>270</v>
      </c>
      <c r="D13" s="2" t="s">
        <v>271</v>
      </c>
      <c r="E13" s="3" t="s">
        <v>272</v>
      </c>
      <c r="F13" s="3" t="s">
        <v>273</v>
      </c>
      <c r="G13" s="2" t="s">
        <v>274</v>
      </c>
    </row>
    <row r="14" customFormat="false" ht="39.55" hidden="false" customHeight="false" outlineLevel="0" collapsed="false">
      <c r="A14" s="2" t="n">
        <v>13</v>
      </c>
      <c r="B14" s="2" t="s">
        <v>275</v>
      </c>
      <c r="C14" s="2" t="s">
        <v>276</v>
      </c>
      <c r="D14" s="2" t="s">
        <v>277</v>
      </c>
      <c r="E14" s="2" t="s">
        <v>278</v>
      </c>
      <c r="F14" s="2" t="s">
        <v>279</v>
      </c>
      <c r="G14" s="2" t="s">
        <v>280</v>
      </c>
    </row>
    <row r="15" customFormat="false" ht="39.55" hidden="false" customHeight="false" outlineLevel="0" collapsed="false">
      <c r="A15" s="2" t="n">
        <v>14</v>
      </c>
      <c r="B15" s="2" t="s">
        <v>281</v>
      </c>
      <c r="C15" s="3" t="s">
        <v>72</v>
      </c>
      <c r="D15" s="2" t="s">
        <v>282</v>
      </c>
      <c r="E15" s="2" t="s">
        <v>283</v>
      </c>
      <c r="F15" s="2" t="s">
        <v>284</v>
      </c>
      <c r="G15" s="2" t="s">
        <v>285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26.85" hidden="false" customHeight="false" outlineLevel="0" collapsed="false">
      <c r="A1" s="4" t="s">
        <v>16</v>
      </c>
      <c r="B1" s="5" t="s">
        <v>286</v>
      </c>
      <c r="C1" s="5" t="s">
        <v>287</v>
      </c>
      <c r="D1" s="5" t="s">
        <v>288</v>
      </c>
      <c r="E1" s="5" t="s">
        <v>289</v>
      </c>
      <c r="F1" s="5" t="s">
        <v>290</v>
      </c>
    </row>
    <row r="2" customFormat="false" ht="26.85" hidden="false" customHeight="false" outlineLevel="0" collapsed="false">
      <c r="A2" s="2" t="n">
        <v>1</v>
      </c>
      <c r="B2" s="2" t="s">
        <v>291</v>
      </c>
      <c r="C2" s="3" t="s">
        <v>292</v>
      </c>
      <c r="D2" s="2" t="s">
        <v>293</v>
      </c>
      <c r="E2" s="3" t="s">
        <v>294</v>
      </c>
      <c r="F2" s="2" t="s">
        <v>144</v>
      </c>
    </row>
    <row r="3" customFormat="false" ht="26.85" hidden="false" customHeight="false" outlineLevel="0" collapsed="false">
      <c r="A3" s="2" t="n">
        <v>2</v>
      </c>
      <c r="B3" s="2" t="s">
        <v>295</v>
      </c>
      <c r="C3" s="2" t="s">
        <v>296</v>
      </c>
      <c r="D3" s="2" t="s">
        <v>297</v>
      </c>
      <c r="E3" s="3" t="s">
        <v>298</v>
      </c>
      <c r="F3" s="2" t="s">
        <v>144</v>
      </c>
    </row>
    <row r="4" customFormat="false" ht="26.85" hidden="false" customHeight="false" outlineLevel="0" collapsed="false">
      <c r="A4" s="2" t="n">
        <v>3</v>
      </c>
      <c r="B4" s="2" t="s">
        <v>299</v>
      </c>
      <c r="C4" s="3" t="s">
        <v>300</v>
      </c>
      <c r="D4" s="2" t="s">
        <v>301</v>
      </c>
      <c r="E4" s="3" t="s">
        <v>302</v>
      </c>
      <c r="F4" s="2" t="s">
        <v>144</v>
      </c>
    </row>
    <row r="5" customFormat="false" ht="15" hidden="false" customHeight="false" outlineLevel="0" collapsed="false">
      <c r="A5" s="2" t="n">
        <v>4</v>
      </c>
      <c r="B5" s="2" t="s">
        <v>303</v>
      </c>
      <c r="C5" s="2" t="s">
        <v>304</v>
      </c>
      <c r="D5" s="2" t="s">
        <v>305</v>
      </c>
      <c r="E5" s="3" t="s">
        <v>306</v>
      </c>
      <c r="F5" s="2" t="s">
        <v>157</v>
      </c>
    </row>
    <row r="6" customFormat="false" ht="26.85" hidden="false" customHeight="false" outlineLevel="0" collapsed="false">
      <c r="A6" s="2" t="n">
        <v>5</v>
      </c>
      <c r="B6" s="2" t="s">
        <v>307</v>
      </c>
      <c r="C6" s="2" t="s">
        <v>308</v>
      </c>
      <c r="D6" s="2" t="s">
        <v>309</v>
      </c>
      <c r="E6" s="3" t="s">
        <v>310</v>
      </c>
      <c r="F6" s="2" t="s">
        <v>157</v>
      </c>
    </row>
    <row r="7" customFormat="false" ht="26.85" hidden="false" customHeight="false" outlineLevel="0" collapsed="false">
      <c r="A7" s="2" t="n">
        <v>6</v>
      </c>
      <c r="B7" s="2" t="s">
        <v>311</v>
      </c>
      <c r="C7" s="2" t="s">
        <v>312</v>
      </c>
      <c r="D7" s="2" t="s">
        <v>313</v>
      </c>
      <c r="E7" s="3" t="s">
        <v>314</v>
      </c>
      <c r="F7" s="2" t="s">
        <v>157</v>
      </c>
    </row>
    <row r="8" customFormat="false" ht="26.85" hidden="false" customHeight="false" outlineLevel="0" collapsed="false">
      <c r="A8" s="2" t="n">
        <v>7</v>
      </c>
      <c r="B8" s="2" t="s">
        <v>315</v>
      </c>
      <c r="C8" s="3" t="s">
        <v>316</v>
      </c>
      <c r="D8" s="2" t="s">
        <v>317</v>
      </c>
      <c r="E8" s="3" t="s">
        <v>318</v>
      </c>
      <c r="F8" s="2" t="s">
        <v>157</v>
      </c>
    </row>
    <row r="9" customFormat="false" ht="39.55" hidden="false" customHeight="false" outlineLevel="0" collapsed="false">
      <c r="A9" s="2" t="n">
        <v>8</v>
      </c>
      <c r="B9" s="2" t="s">
        <v>319</v>
      </c>
      <c r="C9" s="2" t="s">
        <v>320</v>
      </c>
      <c r="D9" s="3" t="s">
        <v>321</v>
      </c>
      <c r="E9" s="3" t="s">
        <v>322</v>
      </c>
      <c r="F9" s="2" t="s">
        <v>157</v>
      </c>
    </row>
    <row r="10" customFormat="false" ht="26.85" hidden="false" customHeight="false" outlineLevel="0" collapsed="false">
      <c r="A10" s="2" t="n">
        <v>9</v>
      </c>
      <c r="B10" s="2" t="s">
        <v>323</v>
      </c>
      <c r="C10" s="3" t="s">
        <v>324</v>
      </c>
      <c r="D10" s="2" t="s">
        <v>325</v>
      </c>
      <c r="E10" s="3" t="s">
        <v>326</v>
      </c>
      <c r="F10" s="2" t="s">
        <v>157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1" t="s">
        <v>327</v>
      </c>
      <c r="B1" s="11" t="s">
        <v>328</v>
      </c>
      <c r="C1" s="11" t="s">
        <v>329</v>
      </c>
      <c r="D1" s="11" t="s">
        <v>330</v>
      </c>
    </row>
    <row r="2" customFormat="false" ht="15" hidden="false" customHeight="false" outlineLevel="0" collapsed="false">
      <c r="A2" s="3" t="s">
        <v>331</v>
      </c>
      <c r="B2" s="12" t="n">
        <v>9110</v>
      </c>
      <c r="C2" s="2" t="s">
        <v>332</v>
      </c>
      <c r="D2" s="2" t="s">
        <v>333</v>
      </c>
    </row>
    <row r="3" customFormat="false" ht="15" hidden="false" customHeight="false" outlineLevel="0" collapsed="false">
      <c r="A3" s="3" t="s">
        <v>334</v>
      </c>
      <c r="B3" s="12" t="n">
        <v>1850</v>
      </c>
      <c r="C3" s="2" t="s">
        <v>332</v>
      </c>
      <c r="D3" s="2" t="s">
        <v>96</v>
      </c>
    </row>
    <row r="4" customFormat="false" ht="15" hidden="false" customHeight="false" outlineLevel="0" collapsed="false">
      <c r="A4" s="3" t="s">
        <v>335</v>
      </c>
      <c r="B4" s="12" t="n">
        <v>1640</v>
      </c>
      <c r="C4" s="2" t="s">
        <v>332</v>
      </c>
      <c r="D4" s="2" t="s">
        <v>336</v>
      </c>
    </row>
    <row r="5" customFormat="false" ht="15" hidden="false" customHeight="false" outlineLevel="0" collapsed="false">
      <c r="A5" s="2" t="s">
        <v>337</v>
      </c>
      <c r="B5" s="13" t="n">
        <f aca="false">B2+B3</f>
        <v>10960</v>
      </c>
      <c r="C5" s="2" t="s">
        <v>332</v>
      </c>
      <c r="D5" s="2" t="s">
        <v>338</v>
      </c>
    </row>
    <row r="6" customFormat="false" ht="15" hidden="false" customHeight="false" outlineLevel="0" collapsed="false">
      <c r="A6" s="2" t="s">
        <v>339</v>
      </c>
      <c r="B6" s="14" t="n">
        <f aca="false">IFERROR(B4/B5,0)</f>
        <v>0.14963503649635</v>
      </c>
      <c r="C6" s="3" t="s">
        <v>340</v>
      </c>
      <c r="D6" s="2" t="s">
        <v>341</v>
      </c>
    </row>
    <row r="7" customFormat="false" ht="15" hidden="false" customHeight="false" outlineLevel="0" collapsed="false">
      <c r="A7" s="3" t="s">
        <v>342</v>
      </c>
      <c r="B7" s="12" t="n">
        <v>683</v>
      </c>
      <c r="C7" s="2" t="s">
        <v>343</v>
      </c>
      <c r="D7" s="2" t="s">
        <v>344</v>
      </c>
    </row>
    <row r="8" customFormat="false" ht="15" hidden="false" customHeight="false" outlineLevel="0" collapsed="false">
      <c r="A8" s="3" t="s">
        <v>345</v>
      </c>
      <c r="B8" s="12" t="n">
        <v>389</v>
      </c>
      <c r="C8" s="2" t="s">
        <v>343</v>
      </c>
      <c r="D8" s="2" t="s">
        <v>344</v>
      </c>
    </row>
    <row r="9" customFormat="false" ht="15" hidden="false" customHeight="false" outlineLevel="0" collapsed="false">
      <c r="A9" s="2" t="s">
        <v>346</v>
      </c>
      <c r="B9" s="14" t="n">
        <f aca="false">IFERROR(B8/B7,0)</f>
        <v>0.569546120058565</v>
      </c>
      <c r="C9" s="3" t="s">
        <v>340</v>
      </c>
      <c r="D9" s="2" t="s">
        <v>347</v>
      </c>
    </row>
    <row r="10" customFormat="false" ht="15" hidden="false" customHeight="false" outlineLevel="0" collapsed="false">
      <c r="A10" s="3" t="s">
        <v>348</v>
      </c>
      <c r="B10" s="12" t="n">
        <v>66</v>
      </c>
      <c r="C10" s="2" t="s">
        <v>343</v>
      </c>
      <c r="D10" s="2" t="s">
        <v>349</v>
      </c>
    </row>
    <row r="11" customFormat="false" ht="15" hidden="false" customHeight="false" outlineLevel="0" collapsed="false">
      <c r="A11" s="3" t="s">
        <v>350</v>
      </c>
      <c r="B11" s="12" t="n">
        <v>264</v>
      </c>
      <c r="C11" s="2" t="s">
        <v>343</v>
      </c>
      <c r="D11" s="2" t="s">
        <v>349</v>
      </c>
    </row>
    <row r="12" customFormat="false" ht="15" hidden="false" customHeight="false" outlineLevel="0" collapsed="false">
      <c r="A12" s="3" t="s">
        <v>351</v>
      </c>
      <c r="B12" s="12" t="n">
        <v>59</v>
      </c>
      <c r="C12" s="2" t="s">
        <v>343</v>
      </c>
      <c r="D12" s="2" t="s">
        <v>349</v>
      </c>
    </row>
    <row r="13" customFormat="false" ht="15" hidden="false" customHeight="false" outlineLevel="0" collapsed="false">
      <c r="A13" s="2" t="s">
        <v>352</v>
      </c>
      <c r="B13" s="13" t="n">
        <f aca="false">B10+B11+B12-B8</f>
        <v>0</v>
      </c>
      <c r="C13" s="2" t="s">
        <v>343</v>
      </c>
      <c r="D13" s="3" t="s">
        <v>353</v>
      </c>
    </row>
    <row r="14" customFormat="false" ht="15" hidden="false" customHeight="false" outlineLevel="0" collapsed="false">
      <c r="A14" s="3" t="s">
        <v>354</v>
      </c>
      <c r="B14" s="12" t="n">
        <v>159</v>
      </c>
      <c r="C14" s="2" t="s">
        <v>343</v>
      </c>
      <c r="D14" s="2" t="s">
        <v>355</v>
      </c>
    </row>
    <row r="15" customFormat="false" ht="15" hidden="false" customHeight="false" outlineLevel="0" collapsed="false">
      <c r="A15" s="2" t="s">
        <v>356</v>
      </c>
      <c r="B15" s="13" t="n">
        <f aca="false">B8-B14</f>
        <v>230</v>
      </c>
      <c r="C15" s="2" t="s">
        <v>343</v>
      </c>
      <c r="D15" s="3" t="s">
        <v>357</v>
      </c>
    </row>
    <row r="16" customFormat="false" ht="15" hidden="false" customHeight="false" outlineLevel="0" collapsed="false">
      <c r="A16" s="2" t="s">
        <v>358</v>
      </c>
      <c r="B16" s="14" t="n">
        <f aca="false">IFERROR(B15/B8,0)</f>
        <v>0.591259640102828</v>
      </c>
      <c r="C16" s="3" t="s">
        <v>340</v>
      </c>
      <c r="D16" s="2"/>
    </row>
    <row r="17" customFormat="false" ht="15" hidden="false" customHeight="false" outlineLevel="0" collapsed="false">
      <c r="A17" s="3" t="s">
        <v>359</v>
      </c>
      <c r="B17" s="12" t="n">
        <v>177</v>
      </c>
      <c r="C17" s="2" t="s">
        <v>343</v>
      </c>
      <c r="D17" s="2" t="s">
        <v>349</v>
      </c>
    </row>
    <row r="18" customFormat="false" ht="15" hidden="false" customHeight="false" outlineLevel="0" collapsed="false">
      <c r="A18" s="2" t="s">
        <v>360</v>
      </c>
      <c r="B18" s="14" t="n">
        <f aca="false">IFERROR(B17/B8,0)</f>
        <v>0.455012853470437</v>
      </c>
      <c r="C18" s="3" t="s">
        <v>340</v>
      </c>
      <c r="D18" s="3" t="s">
        <v>361</v>
      </c>
    </row>
    <row r="19" customFormat="false" ht="15" hidden="false" customHeight="false" outlineLevel="0" collapsed="false">
      <c r="A19" s="3" t="s">
        <v>362</v>
      </c>
      <c r="B19" s="15" t="n">
        <v>2.9</v>
      </c>
      <c r="C19" s="2" t="s">
        <v>363</v>
      </c>
      <c r="D19" s="2" t="s">
        <v>96</v>
      </c>
    </row>
    <row r="20" customFormat="false" ht="15" hidden="false" customHeight="false" outlineLevel="0" collapsed="false">
      <c r="A20" s="3" t="s">
        <v>364</v>
      </c>
      <c r="B20" s="15" t="n">
        <v>1.5</v>
      </c>
      <c r="C20" s="2" t="s">
        <v>363</v>
      </c>
      <c r="D20" s="2" t="s">
        <v>96</v>
      </c>
    </row>
    <row r="21" customFormat="false" ht="15" hidden="false" customHeight="false" outlineLevel="0" collapsed="false">
      <c r="A21" s="2" t="s">
        <v>365</v>
      </c>
      <c r="B21" s="14" t="n">
        <f aca="false">IFERROR(B20/B19-1,0)</f>
        <v>-0.482758620689655</v>
      </c>
      <c r="C21" s="3" t="s">
        <v>340</v>
      </c>
      <c r="D21" s="2" t="s">
        <v>366</v>
      </c>
    </row>
    <row r="22" customFormat="false" ht="15" hidden="false" customHeight="false" outlineLevel="0" collapsed="false">
      <c r="A22" s="3" t="s">
        <v>367</v>
      </c>
      <c r="B22" s="12" t="n">
        <v>99</v>
      </c>
      <c r="C22" s="2" t="s">
        <v>343</v>
      </c>
      <c r="D22" s="2" t="s">
        <v>368</v>
      </c>
    </row>
    <row r="23" customFormat="false" ht="15" hidden="false" customHeight="false" outlineLevel="0" collapsed="false">
      <c r="A23" s="3" t="s">
        <v>369</v>
      </c>
      <c r="B23" s="12" t="n">
        <v>129</v>
      </c>
      <c r="C23" s="2" t="s">
        <v>343</v>
      </c>
      <c r="D23" s="2" t="s">
        <v>370</v>
      </c>
    </row>
    <row r="24" customFormat="false" ht="15" hidden="false" customHeight="false" outlineLevel="0" collapsed="false">
      <c r="A24" s="2" t="s">
        <v>371</v>
      </c>
      <c r="B24" s="14" t="n">
        <f aca="false">IFERROR(B23/B22-1,0)</f>
        <v>0.303030303030303</v>
      </c>
      <c r="C24" s="3" t="s">
        <v>340</v>
      </c>
      <c r="D24" s="2" t="s">
        <v>372</v>
      </c>
    </row>
    <row r="25" customFormat="false" ht="15" hidden="false" customHeight="false" outlineLevel="0" collapsed="false">
      <c r="A25" s="3" t="s">
        <v>373</v>
      </c>
      <c r="B25" s="12" t="n">
        <v>77</v>
      </c>
      <c r="C25" s="2" t="s">
        <v>343</v>
      </c>
      <c r="D25" s="2" t="s">
        <v>374</v>
      </c>
    </row>
    <row r="26" customFormat="false" ht="15" hidden="false" customHeight="false" outlineLevel="0" collapsed="false">
      <c r="A26" s="3" t="s">
        <v>375</v>
      </c>
      <c r="B26" s="12" t="n">
        <v>172</v>
      </c>
      <c r="C26" s="2" t="s">
        <v>343</v>
      </c>
      <c r="D26" s="2" t="s">
        <v>374</v>
      </c>
    </row>
    <row r="27" customFormat="false" ht="15" hidden="false" customHeight="false" outlineLevel="0" collapsed="false">
      <c r="A27" s="2" t="s">
        <v>376</v>
      </c>
      <c r="B27" s="16" t="n">
        <f aca="false">IFERROR(B26/B25,0)</f>
        <v>2.23376623376623</v>
      </c>
      <c r="C27" s="2" t="s">
        <v>377</v>
      </c>
      <c r="D27" s="2" t="s">
        <v>378</v>
      </c>
    </row>
    <row r="28" customFormat="false" ht="15" hidden="false" customHeight="false" outlineLevel="0" collapsed="false">
      <c r="A28" s="3" t="s">
        <v>379</v>
      </c>
      <c r="B28" s="15" t="n">
        <v>13.1</v>
      </c>
      <c r="C28" s="2" t="s">
        <v>363</v>
      </c>
      <c r="D28" s="2" t="s">
        <v>370</v>
      </c>
    </row>
    <row r="29" customFormat="false" ht="15" hidden="false" customHeight="false" outlineLevel="0" collapsed="false">
      <c r="A29" s="3" t="s">
        <v>380</v>
      </c>
      <c r="B29" s="15" t="n">
        <v>0.9</v>
      </c>
      <c r="C29" s="2" t="s">
        <v>363</v>
      </c>
      <c r="D29" s="2" t="s">
        <v>381</v>
      </c>
    </row>
    <row r="30" customFormat="false" ht="15" hidden="false" customHeight="false" outlineLevel="0" collapsed="false">
      <c r="A30" s="3" t="s">
        <v>382</v>
      </c>
      <c r="B30" s="15" t="n">
        <v>7.4</v>
      </c>
      <c r="C30" s="2" t="s">
        <v>363</v>
      </c>
      <c r="D30" s="2" t="s">
        <v>383</v>
      </c>
    </row>
    <row r="31" customFormat="false" ht="15" hidden="false" customHeight="false" outlineLevel="0" collapsed="false">
      <c r="A31" s="2" t="s">
        <v>384</v>
      </c>
      <c r="B31" s="14" t="n">
        <f aca="false">IFERROR(B29/B28,0)</f>
        <v>0.0687022900763359</v>
      </c>
      <c r="C31" s="3" t="s">
        <v>340</v>
      </c>
      <c r="D31" s="2" t="s">
        <v>385</v>
      </c>
    </row>
    <row r="32" customFormat="false" ht="15" hidden="false" customHeight="false" outlineLevel="0" collapsed="false">
      <c r="A32" s="2" t="s">
        <v>386</v>
      </c>
      <c r="B32" s="14" t="n">
        <f aca="false">IFERROR(B30/B28,0)</f>
        <v>0.564885496183206</v>
      </c>
      <c r="C32" s="3" t="s">
        <v>340</v>
      </c>
      <c r="D32" s="2"/>
    </row>
    <row r="33" customFormat="false" ht="15" hidden="false" customHeight="false" outlineLevel="0" collapsed="false">
      <c r="A33" s="3" t="s">
        <v>387</v>
      </c>
      <c r="B33" s="15" t="n">
        <v>3</v>
      </c>
      <c r="C33" s="2" t="s">
        <v>363</v>
      </c>
      <c r="D33" s="2" t="s">
        <v>388</v>
      </c>
    </row>
    <row r="34" customFormat="false" ht="15" hidden="false" customHeight="false" outlineLevel="0" collapsed="false">
      <c r="A34" s="3" t="s">
        <v>389</v>
      </c>
      <c r="B34" s="15" t="n">
        <v>1.5</v>
      </c>
      <c r="C34" s="2" t="s">
        <v>363</v>
      </c>
      <c r="D34" s="2" t="s">
        <v>390</v>
      </c>
    </row>
    <row r="35" customFormat="false" ht="15" hidden="false" customHeight="false" outlineLevel="0" collapsed="false">
      <c r="A35" s="3" t="s">
        <v>391</v>
      </c>
      <c r="B35" s="14" t="n">
        <f aca="false">IFERROR(B34/B33,0)</f>
        <v>0.5</v>
      </c>
      <c r="C35" s="3" t="s">
        <v>340</v>
      </c>
      <c r="D35" s="2"/>
    </row>
    <row r="36" customFormat="false" ht="15" hidden="false" customHeight="false" outlineLevel="0" collapsed="false">
      <c r="A36" s="3" t="s">
        <v>392</v>
      </c>
      <c r="B36" s="12" t="n">
        <v>216</v>
      </c>
      <c r="C36" s="2" t="s">
        <v>393</v>
      </c>
      <c r="D36" s="2" t="s">
        <v>394</v>
      </c>
    </row>
    <row r="37" customFormat="false" ht="15" hidden="false" customHeight="false" outlineLevel="0" collapsed="false">
      <c r="A37" s="3" t="s">
        <v>395</v>
      </c>
      <c r="B37" s="12" t="n">
        <v>1018</v>
      </c>
      <c r="C37" s="2" t="s">
        <v>393</v>
      </c>
      <c r="D37" s="2" t="s">
        <v>370</v>
      </c>
    </row>
    <row r="38" customFormat="false" ht="15" hidden="false" customHeight="false" outlineLevel="0" collapsed="false">
      <c r="A38" s="2" t="s">
        <v>396</v>
      </c>
      <c r="B38" s="14" t="n">
        <f aca="false">IFERROR(B36/B37,0)</f>
        <v>0.212180746561886</v>
      </c>
      <c r="C38" s="3" t="s">
        <v>340</v>
      </c>
      <c r="D38" s="2" t="s">
        <v>397</v>
      </c>
    </row>
    <row r="40" customFormat="false" ht="15" hidden="false" customHeight="false" outlineLevel="0" collapsed="false">
      <c r="A40" s="17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45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16</v>
      </c>
      <c r="B1" s="5" t="s">
        <v>399</v>
      </c>
      <c r="C1" s="5" t="s">
        <v>400</v>
      </c>
      <c r="D1" s="5" t="s">
        <v>401</v>
      </c>
      <c r="E1" s="5" t="s">
        <v>402</v>
      </c>
    </row>
    <row r="2" customFormat="false" ht="26.85" hidden="false" customHeight="false" outlineLevel="0" collapsed="false">
      <c r="A2" s="2" t="n">
        <v>1</v>
      </c>
      <c r="B2" s="2" t="s">
        <v>403</v>
      </c>
      <c r="C2" s="2" t="s">
        <v>404</v>
      </c>
      <c r="D2" s="3" t="s">
        <v>405</v>
      </c>
      <c r="E2" s="3" t="s">
        <v>406</v>
      </c>
    </row>
    <row r="3" customFormat="false" ht="15" hidden="false" customHeight="false" outlineLevel="0" collapsed="false">
      <c r="A3" s="2" t="n">
        <v>2</v>
      </c>
      <c r="B3" s="2" t="s">
        <v>403</v>
      </c>
      <c r="C3" s="3" t="s">
        <v>407</v>
      </c>
      <c r="D3" s="3" t="s">
        <v>408</v>
      </c>
      <c r="E3" s="3" t="s">
        <v>409</v>
      </c>
    </row>
    <row r="4" customFormat="false" ht="26.85" hidden="false" customHeight="false" outlineLevel="0" collapsed="false">
      <c r="A4" s="2" t="n">
        <v>3</v>
      </c>
      <c r="B4" s="2" t="s">
        <v>410</v>
      </c>
      <c r="C4" s="2" t="s">
        <v>411</v>
      </c>
      <c r="D4" s="3" t="s">
        <v>412</v>
      </c>
      <c r="E4" s="3" t="s">
        <v>413</v>
      </c>
    </row>
    <row r="5" customFormat="false" ht="26.85" hidden="false" customHeight="false" outlineLevel="0" collapsed="false">
      <c r="A5" s="2" t="n">
        <v>4</v>
      </c>
      <c r="B5" s="2" t="s">
        <v>403</v>
      </c>
      <c r="C5" s="3" t="s">
        <v>414</v>
      </c>
      <c r="D5" s="2" t="s">
        <v>415</v>
      </c>
      <c r="E5" s="3" t="s">
        <v>416</v>
      </c>
    </row>
    <row r="6" customFormat="false" ht="26.85" hidden="false" customHeight="false" outlineLevel="0" collapsed="false">
      <c r="A6" s="2" t="n">
        <v>5</v>
      </c>
      <c r="B6" s="2" t="s">
        <v>403</v>
      </c>
      <c r="C6" s="2" t="s">
        <v>417</v>
      </c>
      <c r="D6" s="2" t="s">
        <v>418</v>
      </c>
      <c r="E6" s="3" t="s">
        <v>419</v>
      </c>
    </row>
    <row r="7" customFormat="false" ht="15" hidden="false" customHeight="false" outlineLevel="0" collapsed="false">
      <c r="A7" s="2" t="n">
        <v>6</v>
      </c>
      <c r="B7" s="2" t="s">
        <v>403</v>
      </c>
      <c r="C7" s="3" t="s">
        <v>420</v>
      </c>
      <c r="D7" s="2" t="s">
        <v>190</v>
      </c>
      <c r="E7" s="3" t="s">
        <v>421</v>
      </c>
    </row>
    <row r="8" customFormat="false" ht="26.85" hidden="false" customHeight="false" outlineLevel="0" collapsed="false">
      <c r="A8" s="2" t="n">
        <v>7</v>
      </c>
      <c r="B8" s="2" t="s">
        <v>422</v>
      </c>
      <c r="C8" s="2" t="s">
        <v>423</v>
      </c>
      <c r="D8" s="2" t="s">
        <v>424</v>
      </c>
      <c r="E8" s="3" t="s">
        <v>425</v>
      </c>
    </row>
    <row r="9" customFormat="false" ht="15" hidden="false" customHeight="false" outlineLevel="0" collapsed="false">
      <c r="A9" s="2" t="n">
        <v>8</v>
      </c>
      <c r="B9" s="2" t="s">
        <v>422</v>
      </c>
      <c r="C9" s="2" t="s">
        <v>426</v>
      </c>
      <c r="D9" s="2" t="s">
        <v>427</v>
      </c>
      <c r="E9" s="3" t="s">
        <v>428</v>
      </c>
    </row>
    <row r="10" customFormat="false" ht="15" hidden="false" customHeight="false" outlineLevel="0" collapsed="false">
      <c r="A10" s="2" t="n">
        <v>9</v>
      </c>
      <c r="B10" s="2" t="s">
        <v>403</v>
      </c>
      <c r="C10" s="3" t="s">
        <v>429</v>
      </c>
      <c r="D10" s="2" t="s">
        <v>430</v>
      </c>
      <c r="E10" s="3" t="s">
        <v>431</v>
      </c>
    </row>
    <row r="11" customFormat="false" ht="15" hidden="false" customHeight="false" outlineLevel="0" collapsed="false">
      <c r="A11" s="2" t="n">
        <v>10</v>
      </c>
      <c r="B11" s="2" t="s">
        <v>403</v>
      </c>
      <c r="C11" s="2" t="s">
        <v>432</v>
      </c>
      <c r="D11" s="2" t="s">
        <v>433</v>
      </c>
      <c r="E11" s="3" t="s">
        <v>434</v>
      </c>
    </row>
    <row r="12" customFormat="false" ht="15" hidden="false" customHeight="false" outlineLevel="0" collapsed="false">
      <c r="A12" s="2" t="n">
        <v>11</v>
      </c>
      <c r="B12" s="2" t="s">
        <v>403</v>
      </c>
      <c r="C12" s="2" t="s">
        <v>435</v>
      </c>
      <c r="D12" s="2" t="s">
        <v>436</v>
      </c>
      <c r="E12" s="3" t="s">
        <v>437</v>
      </c>
    </row>
    <row r="13" customFormat="false" ht="26.85" hidden="false" customHeight="false" outlineLevel="0" collapsed="false">
      <c r="A13" s="2" t="n">
        <v>12</v>
      </c>
      <c r="B13" s="2" t="s">
        <v>403</v>
      </c>
      <c r="C13" s="2" t="s">
        <v>438</v>
      </c>
      <c r="D13" s="2" t="s">
        <v>439</v>
      </c>
      <c r="E13" s="3" t="s">
        <v>440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16</v>
      </c>
      <c r="B1" s="5" t="s">
        <v>441</v>
      </c>
      <c r="C1" s="4" t="s">
        <v>442</v>
      </c>
      <c r="D1" s="5" t="s">
        <v>443</v>
      </c>
    </row>
    <row r="2" customFormat="false" ht="26.85" hidden="false" customHeight="false" outlineLevel="0" collapsed="false">
      <c r="A2" s="2" t="n">
        <v>1</v>
      </c>
      <c r="B2" s="2" t="s">
        <v>444</v>
      </c>
      <c r="C2" s="2" t="s">
        <v>445</v>
      </c>
      <c r="D2" s="2" t="s">
        <v>446</v>
      </c>
    </row>
    <row r="3" customFormat="false" ht="15" hidden="false" customHeight="false" outlineLevel="0" collapsed="false">
      <c r="A3" s="2" t="n">
        <v>2</v>
      </c>
      <c r="B3" s="2" t="s">
        <v>447</v>
      </c>
      <c r="C3" s="2" t="s">
        <v>448</v>
      </c>
      <c r="D3" s="2" t="s">
        <v>446</v>
      </c>
    </row>
    <row r="4" customFormat="false" ht="26.85" hidden="false" customHeight="false" outlineLevel="0" collapsed="false">
      <c r="A4" s="2" t="n">
        <v>3</v>
      </c>
      <c r="B4" s="2" t="s">
        <v>449</v>
      </c>
      <c r="C4" s="3" t="s">
        <v>450</v>
      </c>
      <c r="D4" s="2" t="s">
        <v>451</v>
      </c>
    </row>
    <row r="5" customFormat="false" ht="26.85" hidden="false" customHeight="false" outlineLevel="0" collapsed="false">
      <c r="A5" s="2" t="n">
        <v>4</v>
      </c>
      <c r="B5" s="2" t="s">
        <v>452</v>
      </c>
      <c r="C5" s="3" t="s">
        <v>453</v>
      </c>
      <c r="D5" s="2" t="s">
        <v>451</v>
      </c>
    </row>
    <row r="6" customFormat="false" ht="15" hidden="false" customHeight="false" outlineLevel="0" collapsed="false">
      <c r="A6" s="2" t="n">
        <v>5</v>
      </c>
      <c r="B6" s="2" t="s">
        <v>454</v>
      </c>
      <c r="C6" s="3" t="s">
        <v>455</v>
      </c>
      <c r="D6" s="2" t="s">
        <v>451</v>
      </c>
    </row>
    <row r="7" customFormat="false" ht="26.85" hidden="false" customHeight="false" outlineLevel="0" collapsed="false">
      <c r="A7" s="2" t="n">
        <v>6</v>
      </c>
      <c r="B7" s="2" t="s">
        <v>456</v>
      </c>
      <c r="C7" s="3" t="s">
        <v>457</v>
      </c>
      <c r="D7" s="2" t="s">
        <v>458</v>
      </c>
    </row>
    <row r="8" customFormat="false" ht="26.85" hidden="false" customHeight="false" outlineLevel="0" collapsed="false">
      <c r="A8" s="2" t="n">
        <v>7</v>
      </c>
      <c r="B8" s="2" t="s">
        <v>459</v>
      </c>
      <c r="C8" s="3" t="s">
        <v>460</v>
      </c>
      <c r="D8" s="2" t="s">
        <v>461</v>
      </c>
    </row>
    <row r="9" customFormat="false" ht="15" hidden="false" customHeight="false" outlineLevel="0" collapsed="false">
      <c r="A9" s="2" t="n">
        <v>8</v>
      </c>
      <c r="B9" s="2" t="s">
        <v>462</v>
      </c>
      <c r="C9" s="3" t="s">
        <v>463</v>
      </c>
      <c r="D9" s="2" t="s">
        <v>464</v>
      </c>
    </row>
    <row r="10" customFormat="false" ht="15" hidden="false" customHeight="false" outlineLevel="0" collapsed="false">
      <c r="A10" s="2" t="n">
        <v>9</v>
      </c>
      <c r="B10" s="2" t="s">
        <v>465</v>
      </c>
      <c r="C10" s="3" t="s">
        <v>466</v>
      </c>
      <c r="D10" s="2" t="s">
        <v>464</v>
      </c>
    </row>
    <row r="11" customFormat="false" ht="35.05" hidden="false" customHeight="false" outlineLevel="0" collapsed="false">
      <c r="A11" s="2" t="n">
        <v>10</v>
      </c>
      <c r="B11" s="2" t="s">
        <v>467</v>
      </c>
      <c r="C11" s="3" t="s">
        <v>468</v>
      </c>
      <c r="D11" s="2" t="s">
        <v>469</v>
      </c>
    </row>
    <row r="12" customFormat="false" ht="15" hidden="false" customHeight="false" outlineLevel="0" collapsed="false">
      <c r="A12" s="2" t="n">
        <v>11</v>
      </c>
      <c r="B12" s="2" t="s">
        <v>470</v>
      </c>
      <c r="C12" s="3" t="s">
        <v>471</v>
      </c>
      <c r="D12" s="2" t="s">
        <v>472</v>
      </c>
    </row>
    <row r="13" customFormat="false" ht="15" hidden="false" customHeight="false" outlineLevel="0" collapsed="false">
      <c r="A13" s="2" t="n">
        <v>12</v>
      </c>
      <c r="B13" s="3" t="s">
        <v>473</v>
      </c>
      <c r="C13" s="3" t="s">
        <v>474</v>
      </c>
      <c r="D13" s="2" t="s">
        <v>475</v>
      </c>
    </row>
    <row r="14" customFormat="false" ht="15" hidden="false" customHeight="false" outlineLevel="0" collapsed="false">
      <c r="A14" s="2" t="n">
        <v>13</v>
      </c>
      <c r="B14" s="2" t="s">
        <v>476</v>
      </c>
      <c r="C14" s="3" t="s">
        <v>477</v>
      </c>
      <c r="D14" s="2" t="s">
        <v>475</v>
      </c>
    </row>
    <row r="15" customFormat="false" ht="25.35" hidden="false" customHeight="false" outlineLevel="0" collapsed="false">
      <c r="A15" s="2" t="n">
        <v>14</v>
      </c>
      <c r="B15" s="2" t="s">
        <v>478</v>
      </c>
      <c r="C15" s="3" t="s">
        <v>479</v>
      </c>
      <c r="D15" s="2" t="s">
        <v>475</v>
      </c>
    </row>
    <row r="16" customFormat="false" ht="15" hidden="false" customHeight="false" outlineLevel="0" collapsed="false">
      <c r="A16" s="2" t="n">
        <v>15</v>
      </c>
      <c r="B16" s="2" t="s">
        <v>480</v>
      </c>
      <c r="C16" s="3" t="s">
        <v>481</v>
      </c>
      <c r="D16" s="2" t="s">
        <v>482</v>
      </c>
    </row>
    <row r="17" customFormat="false" ht="25.35" hidden="false" customHeight="false" outlineLevel="0" collapsed="false">
      <c r="A17" s="2" t="n">
        <v>16</v>
      </c>
      <c r="B17" s="2" t="s">
        <v>483</v>
      </c>
      <c r="C17" s="3" t="s">
        <v>484</v>
      </c>
      <c r="D17" s="2" t="s">
        <v>482</v>
      </c>
    </row>
    <row r="18" customFormat="false" ht="25.35" hidden="false" customHeight="false" outlineLevel="0" collapsed="false">
      <c r="A18" s="2" t="n">
        <v>17</v>
      </c>
      <c r="B18" s="2" t="s">
        <v>485</v>
      </c>
      <c r="C18" s="3" t="s">
        <v>486</v>
      </c>
      <c r="D18" s="2" t="s">
        <v>487</v>
      </c>
    </row>
    <row r="19" customFormat="false" ht="25.35" hidden="false" customHeight="false" outlineLevel="0" collapsed="false">
      <c r="A19" s="2" t="n">
        <v>18</v>
      </c>
      <c r="B19" s="2" t="s">
        <v>488</v>
      </c>
      <c r="C19" s="3" t="s">
        <v>489</v>
      </c>
      <c r="D19" s="2" t="s">
        <v>487</v>
      </c>
    </row>
    <row r="20" customFormat="false" ht="15" hidden="false" customHeight="false" outlineLevel="0" collapsed="false">
      <c r="A20" s="2" t="n">
        <v>19</v>
      </c>
      <c r="B20" s="2" t="s">
        <v>490</v>
      </c>
      <c r="C20" s="3" t="s">
        <v>491</v>
      </c>
      <c r="D20" s="2" t="s">
        <v>492</v>
      </c>
    </row>
  </sheetData>
  <autoFilter ref="A1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2026-10-16T06:27:03Z</dcterms:created>
  <dc:creator>openpyxl</dc:creator>
  <dc:description/>
  <dc:language>en-US</dc:language>
  <cp:lastModifiedBy/>
  <dcterms:modified xsi:type="dcterms:W3CDTF">2026-10-16T06:27:03Z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