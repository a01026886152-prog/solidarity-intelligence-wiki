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공약 달성도 트래커" sheetId="2" state="visible" r:id="rId2"/>
    <sheet name="분야별 요약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%&quot;"/>
    <numFmt numFmtId="165" formatCode="0.0&quot;%&quot;"/>
  </numFmts>
  <fonts count="16">
    <font>
      <name val="Calibri"/>
      <family val="2"/>
      <color theme="1"/>
      <sz val="11"/>
      <scheme val="minor"/>
    </font>
    <font>
      <name val="맑은 고딕"/>
      <b val="1"/>
      <color rgb="001F3864"/>
      <sz val="16"/>
    </font>
    <font>
      <name val="맑은 고딕"/>
      <color rgb="00808080"/>
      <sz val="10"/>
    </font>
    <font>
      <name val="맑은 고딕"/>
      <b val="1"/>
      <color rgb="001F3864"/>
      <sz val="12"/>
    </font>
    <font>
      <name val="맑은 고딕"/>
      <color rgb="002E5496"/>
      <sz val="10"/>
    </font>
    <font>
      <name val="맑은 고딕"/>
      <color rgb="00000000"/>
      <sz val="10"/>
    </font>
    <font>
      <name val="맑은 고딕"/>
      <b val="1"/>
      <color rgb="002E5496"/>
      <sz val="10"/>
    </font>
    <font>
      <name val="맑은 고딕"/>
      <b val="1"/>
      <color rgb="00FFFFFF"/>
      <sz val="13"/>
    </font>
    <font>
      <name val="맑은 고딕"/>
      <b val="1"/>
      <color rgb="00FFFFFF"/>
      <sz val="10"/>
    </font>
    <font>
      <name val="맑은 고딕"/>
      <color rgb="00000000"/>
      <sz val="9"/>
    </font>
    <font>
      <name val="맑은 고딕"/>
      <b val="1"/>
      <color rgb="001F3864"/>
      <sz val="9"/>
    </font>
    <font>
      <name val="맑은 고딕"/>
      <b val="1"/>
      <color rgb="001F3864"/>
      <sz val="15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1"/>
    </font>
    <font>
      <name val="맑은 고딕"/>
      <b val="1"/>
      <color rgb="001F3864"/>
      <sz val="11"/>
    </font>
  </fonts>
  <fills count="1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305496"/>
      </patternFill>
    </fill>
    <fill>
      <patternFill patternType="solid">
        <fgColor rgb="00FFF2CC"/>
      </patternFill>
    </fill>
    <fill>
      <patternFill patternType="solid">
        <fgColor rgb="00DCE6F1"/>
      </patternFill>
    </fill>
    <fill>
      <patternFill patternType="solid">
        <fgColor rgb="00E4EFE0"/>
      </patternFill>
    </fill>
    <fill>
      <patternFill patternType="solid">
        <fgColor rgb="00FCE9DA"/>
      </patternFill>
    </fill>
    <fill>
      <patternFill patternType="solid">
        <fgColor rgb="00F2E2F0"/>
      </patternFill>
    </fill>
    <fill>
      <patternFill patternType="solid">
        <fgColor rgb="00FDF3D4"/>
      </patternFill>
    </fill>
    <fill>
      <patternFill patternType="solid">
        <fgColor rgb="00E0EFF4"/>
      </patternFill>
    </fill>
    <fill>
      <patternFill patternType="solid">
        <fgColor rgb="00EFE1E1"/>
      </patternFill>
    </fill>
    <fill>
      <patternFill patternType="solid">
        <fgColor rgb="00E9E9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left" vertical="center" indent="1"/>
    </xf>
    <xf numFmtId="0" fontId="8" fillId="3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vertical="top" wrapText="1"/>
    </xf>
    <xf numFmtId="0" fontId="9" fillId="5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9" fillId="4" borderId="1" applyAlignment="1" pivotButton="0" quotePrefix="0" xfId="0">
      <alignment horizontal="center" vertical="center" wrapText="1"/>
    </xf>
    <xf numFmtId="164" fontId="9" fillId="4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vertical="top" wrapText="1"/>
    </xf>
    <xf numFmtId="0" fontId="9" fillId="6" borderId="1" applyAlignment="1" pivotButton="0" quotePrefix="0" xfId="0">
      <alignment vertical="top" wrapText="1"/>
    </xf>
    <xf numFmtId="0" fontId="10" fillId="7" borderId="1" applyAlignment="1" pivotButton="0" quotePrefix="0" xfId="0">
      <alignment vertical="top" wrapText="1"/>
    </xf>
    <xf numFmtId="0" fontId="9" fillId="7" borderId="1" applyAlignment="1" pivotButton="0" quotePrefix="0" xfId="0">
      <alignment vertical="top" wrapText="1"/>
    </xf>
    <xf numFmtId="0" fontId="10" fillId="8" borderId="1" applyAlignment="1" pivotButton="0" quotePrefix="0" xfId="0">
      <alignment vertical="top" wrapText="1"/>
    </xf>
    <xf numFmtId="0" fontId="9" fillId="8" borderId="1" applyAlignment="1" pivotButton="0" quotePrefix="0" xfId="0">
      <alignment vertical="top" wrapText="1"/>
    </xf>
    <xf numFmtId="0" fontId="10" fillId="9" borderId="1" applyAlignment="1" pivotButton="0" quotePrefix="0" xfId="0">
      <alignment vertical="top" wrapText="1"/>
    </xf>
    <xf numFmtId="0" fontId="9" fillId="9" borderId="1" applyAlignment="1" pivotButton="0" quotePrefix="0" xfId="0">
      <alignment vertical="top" wrapText="1"/>
    </xf>
    <xf numFmtId="0" fontId="10" fillId="10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0" fillId="11" borderId="1" applyAlignment="1" pivotButton="0" quotePrefix="0" xfId="0">
      <alignment vertical="top" wrapText="1"/>
    </xf>
    <xf numFmtId="0" fontId="9" fillId="11" borderId="1" applyAlignment="1" pivotButton="0" quotePrefix="0" xfId="0">
      <alignment vertical="top" wrapText="1"/>
    </xf>
    <xf numFmtId="0" fontId="10" fillId="12" borderId="1" applyAlignment="1" pivotButton="0" quotePrefix="0" xfId="0">
      <alignment vertical="top" wrapText="1"/>
    </xf>
    <xf numFmtId="0" fontId="9" fillId="12" borderId="1" applyAlignment="1" pivotButton="0" quotePrefix="0" xfId="0">
      <alignment vertical="top" wrapText="1"/>
    </xf>
    <xf numFmtId="0" fontId="11" fillId="0" borderId="0" pivotButton="0" quotePrefix="0" xfId="0"/>
    <xf numFmtId="0" fontId="12" fillId="0" borderId="0" pivotButton="0" quotePrefix="0" xfId="0"/>
    <xf numFmtId="0" fontId="13" fillId="5" borderId="1" pivotButton="0" quotePrefix="0" xfId="0"/>
    <xf numFmtId="0" fontId="5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13" fillId="6" borderId="1" pivotButton="0" quotePrefix="0" xfId="0"/>
    <xf numFmtId="0" fontId="13" fillId="7" borderId="1" pivotButton="0" quotePrefix="0" xfId="0"/>
    <xf numFmtId="0" fontId="13" fillId="8" borderId="1" pivotButton="0" quotePrefix="0" xfId="0"/>
    <xf numFmtId="0" fontId="13" fillId="9" borderId="1" pivotButton="0" quotePrefix="0" xfId="0"/>
    <xf numFmtId="0" fontId="13" fillId="10" borderId="1" pivotButton="0" quotePrefix="0" xfId="0"/>
    <xf numFmtId="0" fontId="13" fillId="11" borderId="1" pivotButton="0" quotePrefix="0" xfId="0"/>
    <xf numFmtId="0" fontId="13" fillId="12" borderId="1" pivotButton="0" quotePrefix="0" xfId="0"/>
    <xf numFmtId="0" fontId="14" fillId="2" borderId="1" pivotButton="0" quotePrefix="0" xfId="0"/>
    <xf numFmtId="0" fontId="14" fillId="2" borderId="1" applyAlignment="1" pivotButton="0" quotePrefix="0" xfId="0">
      <alignment horizontal="center" vertical="center" wrapText="1"/>
    </xf>
    <xf numFmtId="165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0" fillId="13" borderId="1" applyAlignment="1" pivotButton="0" quotePrefix="0" xfId="0">
      <alignment horizontal="center" vertical="center" wrapText="1"/>
    </xf>
    <xf numFmtId="0" fontId="15" fillId="0" borderId="0" pivotButton="0" quotePrefix="0" xfId="0"/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가이드</author>
  </authors>
  <commentList>
    <comment ref="E2" authorId="0" shapeId="0">
      <text>
        <t>INPUT = 시의원이 직접 행사하는 의정활동(예산·조례·질의·협치·현장). 이것이 투입되어야 우측 OUTPUT(공약 달성)이 산출됩니다.</t>
      </text>
    </comment>
    <comment ref="K2" authorId="0" shapeId="0">
      <text>
        <t>0~100 숫자만 입력. 분야별 요약 탭이 자동 집계합니다.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95" customWidth="1" min="3" max="3"/>
  </cols>
  <sheetData>
    <row r="2">
      <c r="B2" s="1" t="inlineStr">
        <is>
          <t>박이강 서울시의원 후보 공약사업 달성도 트래커</t>
        </is>
      </c>
    </row>
    <row r="3">
      <c r="B3" s="2" t="inlineStr">
        <is>
          <t>노원구 제1선거구(월계1·2·3동) · 제9회 전국동시지방선거 책자형 선거공보 기반</t>
        </is>
      </c>
    </row>
    <row r="5">
      <c r="B5" s="3" t="inlineStr">
        <is>
          <t>■ 이 문서의 목적</t>
        </is>
      </c>
    </row>
    <row r="6">
      <c r="B6" s="4" t="inlineStr">
        <is>
          <t>핵심 질문</t>
        </is>
      </c>
      <c r="C6" s="5" t="inlineStr">
        <is>
          <t>시의원으로서 '어떤 활동(INPUT)'을 하면 '공약사업 달성(OUTPUT)'으로 이어지는가?</t>
        </is>
      </c>
    </row>
    <row r="7">
      <c r="B7" s="4" t="inlineStr">
        <is>
          <t>구조</t>
        </is>
      </c>
      <c r="C7" s="5" t="inlineStr">
        <is>
          <t>투입(시의원 의정활동) → 산출(기대 결과물) → 달성도(측정지표·달성률)의 논리모형(Logic Model)</t>
        </is>
      </c>
    </row>
    <row r="9">
      <c r="B9" s="3" t="inlineStr">
        <is>
          <t>■ 투입-산출 논리모형 (Input → Output)</t>
        </is>
      </c>
    </row>
    <row r="10">
      <c r="B10" s="6" t="inlineStr">
        <is>
          <t>INPUT (투입)</t>
        </is>
      </c>
      <c r="C10" s="5" t="inlineStr">
        <is>
          <t>시의원이 직접 행사할 수 있는 의정활동 수단: 서울시 예산 심의·증액, 조례 제·개정 발의, 시정질문·5분 자유발언, 행정사무감사, 상임위 심사, 정부·국회·자치구 협치·협의, 주민 현장민원 수렴</t>
        </is>
      </c>
    </row>
    <row r="11">
      <c r="B11" s="6" t="inlineStr">
        <is>
          <t>OUTPUT (산출)</t>
        </is>
      </c>
      <c r="C11" s="5" t="inlineStr">
        <is>
          <t>투입 활동의 결과로 나타나는 눈에 보이는 결과물: 예산 반영액, 착공·개통, 조례 시행, 시설 설치, 제도 도입 등</t>
        </is>
      </c>
    </row>
    <row r="12">
      <c r="B12" s="6" t="inlineStr">
        <is>
          <t>달성도 (지표)</t>
        </is>
      </c>
      <c r="C12" s="5" t="inlineStr">
        <is>
          <t>산출을 계량·확인하는 KPI와 달성률(%). 진행단계와 달성률을 주기적으로 갱신하여 이행 점검</t>
        </is>
      </c>
    </row>
    <row r="14">
      <c r="B14" s="3" t="inlineStr">
        <is>
          <t>■ 시의원 의정수단 유형(INPUT 분류)</t>
        </is>
      </c>
    </row>
    <row r="15">
      <c r="B15" s="4" t="inlineStr">
        <is>
          <t>① 예산</t>
        </is>
      </c>
      <c r="C15" s="5" t="inlineStr">
        <is>
          <t>서울시 예산안 심의·계수조정, 사업 예산 증액·신규 편성 요구 (시의원 최대 권한)</t>
        </is>
      </c>
    </row>
    <row r="16">
      <c r="B16" s="4" t="inlineStr">
        <is>
          <t>② 조례</t>
        </is>
      </c>
      <c r="C16" s="5" t="inlineStr">
        <is>
          <t>제도의 근거가 되는 조례 제·개정 발의 및 의결 (예: 지역화폐·임산부 지원 조례)</t>
        </is>
      </c>
    </row>
    <row r="17">
      <c r="B17" s="4" t="inlineStr">
        <is>
          <t>③ 감시·질의</t>
        </is>
      </c>
      <c r="C17" s="5" t="inlineStr">
        <is>
          <t>시정질문·5분 자유발언·행정사무감사로 집행부 이행 촉구·점검</t>
        </is>
      </c>
    </row>
    <row r="18">
      <c r="B18" s="4" t="inlineStr">
        <is>
          <t>④ 협치·협의</t>
        </is>
      </c>
      <c r="C18" s="5" t="inlineStr">
        <is>
          <t>정부·국회·서울시·노원구 '원팀' 협의로 국책·광역사업 견인 (GTX-C 등)</t>
        </is>
      </c>
    </row>
    <row r="19">
      <c r="B19" s="4" t="inlineStr">
        <is>
          <t>⑤ 현장·민원</t>
        </is>
      </c>
      <c r="C19" s="5" t="inlineStr">
        <is>
          <t>주민 현장민원실·간담회로 수요 발굴 및 사업 우선순위 반영</t>
        </is>
      </c>
    </row>
    <row r="21">
      <c r="B21" s="3" t="inlineStr">
        <is>
          <t>■ 사용법 (입력 셀 안내)</t>
        </is>
      </c>
    </row>
    <row r="22">
      <c r="B22" s="4" t="inlineStr">
        <is>
          <t>노란색 셀만 입력</t>
        </is>
      </c>
      <c r="C22" s="5" t="inlineStr">
        <is>
          <t>'진행단계'와 '달성률(%)' 열(노란 음영)만 갱신하세요. 나머지는 공약 원문 기반 고정값입니다.</t>
        </is>
      </c>
    </row>
    <row r="23">
      <c r="B23" s="4" t="inlineStr">
        <is>
          <t>진행단계</t>
        </is>
      </c>
      <c r="C23" s="5" t="inlineStr">
        <is>
          <t>드롭다운: 착수 전 / 추진 중 / 일부 달성 / 목표 달성 / 보류·무산</t>
        </is>
      </c>
    </row>
    <row r="24">
      <c r="B24" s="4" t="inlineStr">
        <is>
          <t>달성률(%)</t>
        </is>
      </c>
      <c r="C24" s="5" t="inlineStr">
        <is>
          <t>0~100% 숫자 입력. '분야별 요약' 탭이 자동으로 평균 달성률을 계산합니다.</t>
        </is>
      </c>
    </row>
    <row r="25">
      <c r="B25" s="4" t="inlineStr">
        <is>
          <t>근거·비고</t>
        </is>
      </c>
      <c r="C25" s="5" t="inlineStr">
        <is>
          <t>예산서 페이지, 조례안 번호, 착공일 등 산출을 입증하는 근거를 기록하세요.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6" customWidth="1" min="3" max="3"/>
    <col width="34" customWidth="1" min="4" max="4"/>
    <col width="46" customWidth="1" min="5" max="5"/>
    <col width="12" customWidth="1" min="6" max="6"/>
    <col width="40" customWidth="1" min="7" max="7"/>
    <col width="34" customWidth="1" min="8" max="8"/>
    <col width="10" customWidth="1" min="9" max="9"/>
    <col width="12" customWidth="1" min="10" max="10"/>
    <col width="9" customWidth="1" min="11" max="11"/>
    <col width="22" customWidth="1" min="12" max="12"/>
  </cols>
  <sheetData>
    <row r="1" ht="30" customHeight="1">
      <c r="A1" s="7" t="inlineStr">
        <is>
          <t>박이강 서울시의원 공약사업 달성도 트래커  —  투입(의정활동) → 산출(공약달성) 논리모형</t>
        </is>
      </c>
    </row>
    <row r="2" ht="34" customHeight="1">
      <c r="A2" s="8" t="inlineStr">
        <is>
          <t>연번</t>
        </is>
      </c>
      <c r="B2" s="8" t="inlineStr">
        <is>
          <t>분야</t>
        </is>
      </c>
      <c r="C2" s="8" t="inlineStr">
        <is>
          <t>공약 슬로건</t>
        </is>
      </c>
      <c r="D2" s="8" t="inlineStr">
        <is>
          <t>세부 공약사업</t>
        </is>
      </c>
      <c r="E2" s="8" t="inlineStr">
        <is>
          <t>INPUT · 시의원 의정활동(투입)</t>
        </is>
      </c>
      <c r="F2" s="8" t="inlineStr">
        <is>
          <t>의정수단
유형</t>
        </is>
      </c>
      <c r="G2" s="8" t="inlineStr">
        <is>
          <t>OUTPUT · 산출/기대 결과물</t>
        </is>
      </c>
      <c r="H2" s="8" t="inlineStr">
        <is>
          <t>달성도 측정지표(KPI)</t>
        </is>
      </c>
      <c r="I2" s="8" t="inlineStr">
        <is>
          <t>목표
시기</t>
        </is>
      </c>
      <c r="J2" s="8" t="inlineStr">
        <is>
          <t>진행단계</t>
        </is>
      </c>
      <c r="K2" s="8" t="inlineStr">
        <is>
          <t>달성률
(%)</t>
        </is>
      </c>
      <c r="L2" s="8" t="inlineStr">
        <is>
          <t>근거·비고</t>
        </is>
      </c>
    </row>
    <row r="3" ht="60" customHeight="1">
      <c r="A3" s="9" t="n">
        <v>1</v>
      </c>
      <c r="B3" s="10" t="inlineStr">
        <is>
          <t>경제</t>
        </is>
      </c>
      <c r="C3" s="11" t="inlineStr">
        <is>
          <t>월계동을 '강북의 판교'·'서울의 실리콘밸리'로</t>
        </is>
      </c>
      <c r="D3" s="12" t="inlineStr">
        <is>
          <t>광운대역 민자역사 리모델링 추진 (제2의 용산역화)</t>
        </is>
      </c>
      <c r="E3" s="12" t="inlineStr">
        <is>
          <t>서울시 도시계획·투자심사 예산 심의, 시정질문으로 사업 속도 촉구, 코레일·서울시·민간 협상 지원</t>
        </is>
      </c>
      <c r="F3" s="9" t="inlineStr">
        <is>
          <t>협치·협의</t>
        </is>
      </c>
      <c r="G3" s="12" t="inlineStr">
        <is>
          <t>광운대역 민자역사 리모델링 착공·복합개발 인허가</t>
        </is>
      </c>
      <c r="H3" s="12" t="inlineStr">
        <is>
          <t>착공 여부 / 인허가 단계 진척</t>
        </is>
      </c>
      <c r="I3" s="9" t="inlineStr">
        <is>
          <t>2026~2030</t>
        </is>
      </c>
      <c r="J3" s="13" t="inlineStr">
        <is>
          <t>착수 전</t>
        </is>
      </c>
      <c r="K3" s="14" t="n">
        <v>0</v>
      </c>
      <c r="L3" s="12" t="inlineStr"/>
    </row>
    <row r="4" ht="60" customHeight="1">
      <c r="A4" s="9" t="n">
        <v>2</v>
      </c>
      <c r="B4" s="10" t="inlineStr">
        <is>
          <t>경제</t>
        </is>
      </c>
      <c r="C4" s="11" t="inlineStr">
        <is>
          <t>월계동을 '강북의 판교'·'서울의 실리콘밸리'로</t>
        </is>
      </c>
      <c r="D4" s="12" t="inlineStr">
        <is>
          <t>광운대역세권 창업지원공간 대대적 조성</t>
        </is>
      </c>
      <c r="E4" s="12" t="inlineStr">
        <is>
          <t>서울시 창업지원 예산 확보·증액 요구, 관련 조례 발의, 부지 확보 행정 협의</t>
        </is>
      </c>
      <c r="F4" s="9" t="inlineStr">
        <is>
          <t>예산·조례</t>
        </is>
      </c>
      <c r="G4" s="12" t="inlineStr">
        <is>
          <t>창업지원공간(인큐베이터) 개소 및 입주기업 유치</t>
        </is>
      </c>
      <c r="H4" s="12" t="inlineStr">
        <is>
          <t>입주 기업 수 / 지원공간 면적(㎡)</t>
        </is>
      </c>
      <c r="I4" s="9" t="inlineStr">
        <is>
          <t>2026~2029</t>
        </is>
      </c>
      <c r="J4" s="13" t="inlineStr">
        <is>
          <t>착수 전</t>
        </is>
      </c>
      <c r="K4" s="14" t="n">
        <v>0</v>
      </c>
      <c r="L4" s="12" t="inlineStr"/>
    </row>
    <row r="5" ht="60" customHeight="1">
      <c r="A5" s="9" t="n">
        <v>3</v>
      </c>
      <c r="B5" s="10" t="inlineStr">
        <is>
          <t>경제</t>
        </is>
      </c>
      <c r="C5" s="11" t="inlineStr">
        <is>
          <t>월계동을 '강북의 판교'·'서울의 실리콘밸리'로</t>
        </is>
      </c>
      <c r="D5" s="12" t="inlineStr">
        <is>
          <t>정부 벤처기업육성촉진지구 지정 추진</t>
        </is>
      </c>
      <c r="E5" s="12" t="inlineStr">
        <is>
          <t>서울시-중기부 지정 건의, 시정질문으로 지정 요구, 인프라 예산 확보</t>
        </is>
      </c>
      <c r="F5" s="9" t="inlineStr">
        <is>
          <t>협치·협의</t>
        </is>
      </c>
      <c r="G5" s="12" t="inlineStr">
        <is>
          <t>벤처기업육성촉진지구 지정 → 세제혜택·인프라 확보</t>
        </is>
      </c>
      <c r="H5" s="12" t="inlineStr">
        <is>
          <t>지구 지정 고시 여부 / 혜택 기업 수</t>
        </is>
      </c>
      <c r="I5" s="9" t="inlineStr">
        <is>
          <t>2026~2028</t>
        </is>
      </c>
      <c r="J5" s="13" t="inlineStr">
        <is>
          <t>착수 전</t>
        </is>
      </c>
      <c r="K5" s="14" t="n">
        <v>0</v>
      </c>
      <c r="L5" s="12" t="inlineStr"/>
    </row>
    <row r="6" ht="60" customHeight="1">
      <c r="A6" s="9" t="n">
        <v>4</v>
      </c>
      <c r="B6" s="10" t="inlineStr">
        <is>
          <t>경제</t>
        </is>
      </c>
      <c r="C6" s="11" t="inlineStr">
        <is>
          <t>월계동을 '강북의 판교'·'서울의 실리콘밸리'로</t>
        </is>
      </c>
      <c r="D6" s="12" t="inlineStr">
        <is>
          <t>관내 대학(광운대·인덕대) 연계 AI·과학기술 인재 육성</t>
        </is>
      </c>
      <c r="E6" s="12" t="inlineStr">
        <is>
          <t>산학연계 사업 예산 편성 요구, 인재육성 지원 조례 발의, 대학-서울시 협약 중개</t>
        </is>
      </c>
      <c r="F6" s="9" t="inlineStr">
        <is>
          <t>예산·조례</t>
        </is>
      </c>
      <c r="G6" s="12" t="inlineStr">
        <is>
          <t>대학 연계 AI·과기 인재양성 프로그램 운영</t>
        </is>
      </c>
      <c r="H6" s="12" t="inlineStr">
        <is>
          <t>연계 프로그램 수 / 참여·수료 인원</t>
        </is>
      </c>
      <c r="I6" s="9" t="inlineStr">
        <is>
          <t>2026~2029</t>
        </is>
      </c>
      <c r="J6" s="13" t="inlineStr">
        <is>
          <t>착수 전</t>
        </is>
      </c>
      <c r="K6" s="14" t="n">
        <v>0</v>
      </c>
      <c r="L6" s="12" t="inlineStr"/>
    </row>
    <row r="7" ht="60" customHeight="1">
      <c r="A7" s="9" t="n">
        <v>5</v>
      </c>
      <c r="B7" s="15" t="inlineStr">
        <is>
          <t>교통</t>
        </is>
      </c>
      <c r="C7" s="16" t="inlineStr">
        <is>
          <t>사통팔달 교통혁신으로 더 살기 좋은 월계</t>
        </is>
      </c>
      <c r="D7" s="12" t="inlineStr">
        <is>
          <t>월계동 3대 교통혁신: GTX-C 착공·SRT 광운대역 정차·동북선 완공</t>
        </is>
      </c>
      <c r="E7" s="12" t="inlineStr">
        <is>
          <t>국회의원·국토부·서울시 '원팀' 협의, 서울시 분담금 예산 심의, 시정질문으로 공정 점검</t>
        </is>
      </c>
      <c r="F7" s="9" t="inlineStr">
        <is>
          <t>협치·협의</t>
        </is>
      </c>
      <c r="G7" s="12" t="inlineStr">
        <is>
          <t>GTX-C 착공, SRT 정차 확정, 동북선 경전철 개통</t>
        </is>
      </c>
      <c r="H7" s="12" t="inlineStr">
        <is>
          <t>각 사업 착공/개통 단계 / 개통 시기</t>
        </is>
      </c>
      <c r="I7" s="9" t="inlineStr">
        <is>
          <t>2026~2030</t>
        </is>
      </c>
      <c r="J7" s="13" t="inlineStr">
        <is>
          <t>착수 전</t>
        </is>
      </c>
      <c r="K7" s="14" t="n">
        <v>0</v>
      </c>
      <c r="L7" s="12" t="inlineStr"/>
    </row>
    <row r="8" ht="60" customHeight="1">
      <c r="A8" s="9" t="n">
        <v>6</v>
      </c>
      <c r="B8" s="15" t="inlineStr">
        <is>
          <t>교통</t>
        </is>
      </c>
      <c r="C8" s="16" t="inlineStr">
        <is>
          <t>사통팔달 교통혁신으로 더 살기 좋은 월계</t>
        </is>
      </c>
      <c r="D8" s="12" t="inlineStr">
        <is>
          <t>지하철 접근성 강화(다람쥐버스·노원15번 창동역행·녹천역 에스컬레이터)</t>
        </is>
      </c>
      <c r="E8" s="12" t="inlineStr">
        <is>
          <t>서울시 버스노선·시설 예산 확보, 버스정책과 시정질문, 서울교통공사 협의</t>
        </is>
      </c>
      <c r="F8" s="9" t="inlineStr">
        <is>
          <t>예산·협의</t>
        </is>
      </c>
      <c r="G8" s="12" t="inlineStr">
        <is>
          <t>다람쥐버스 도입, 노선 재조정, 녹천역 4번출구 에스컬레이터 설치</t>
        </is>
      </c>
      <c r="H8" s="12" t="inlineStr">
        <is>
          <t>신규·조정 노선 수 / 승강편의시설 설치 수</t>
        </is>
      </c>
      <c r="I8" s="9" t="inlineStr">
        <is>
          <t>2026~2028</t>
        </is>
      </c>
      <c r="J8" s="13" t="inlineStr">
        <is>
          <t>착수 전</t>
        </is>
      </c>
      <c r="K8" s="14" t="n">
        <v>0</v>
      </c>
      <c r="L8" s="12" t="inlineStr"/>
    </row>
    <row r="9" ht="60" customHeight="1">
      <c r="A9" s="9" t="n">
        <v>7</v>
      </c>
      <c r="B9" s="15" t="inlineStr">
        <is>
          <t>교통</t>
        </is>
      </c>
      <c r="C9" s="16" t="inlineStr">
        <is>
          <t>사통팔달 교통혁신으로 더 살기 좋은 월계</t>
        </is>
      </c>
      <c r="D9" s="12" t="inlineStr">
        <is>
          <t>고유가 위기 출근길 지원(대중교통 할인·유연근무제 확대)</t>
        </is>
      </c>
      <c r="E9" s="12" t="inlineStr">
        <is>
          <t>서울시 대중교통 할인정책 예산·조례 발의, 시정질문으로 제도 확대 요구</t>
        </is>
      </c>
      <c r="F9" s="9" t="inlineStr">
        <is>
          <t>예산·조례</t>
        </is>
      </c>
      <c r="G9" s="12" t="inlineStr">
        <is>
          <t>교통비 할인·유연근무 지원제도 확대 시행</t>
        </is>
      </c>
      <c r="H9" s="12" t="inlineStr">
        <is>
          <t>수혜 인원 / 할인 지원 규모(원)</t>
        </is>
      </c>
      <c r="I9" s="9" t="inlineStr">
        <is>
          <t>2026~2027</t>
        </is>
      </c>
      <c r="J9" s="13" t="inlineStr">
        <is>
          <t>착수 전</t>
        </is>
      </c>
      <c r="K9" s="14" t="n">
        <v>0</v>
      </c>
      <c r="L9" s="12" t="inlineStr"/>
    </row>
    <row r="10" ht="60" customHeight="1">
      <c r="A10" s="9" t="n">
        <v>8</v>
      </c>
      <c r="B10" s="17" t="inlineStr">
        <is>
          <t>교육</t>
        </is>
      </c>
      <c r="C10" s="18" t="inlineStr">
        <is>
          <t>제2의 은행사거리! 명품 교육도시 월계</t>
        </is>
      </c>
      <c r="D10" s="12" t="inlineStr">
        <is>
          <t>특성화 교육 산실 &lt;월계장학관&gt; 조성</t>
        </is>
      </c>
      <c r="E10" s="12" t="inlineStr">
        <is>
          <t>서울시·교육청 협력 예산 확보, 장학관 설치·운영 조례 발의, 부지 협의</t>
        </is>
      </c>
      <c r="F10" s="9" t="inlineStr">
        <is>
          <t>예산·조례</t>
        </is>
      </c>
      <c r="G10" s="12" t="inlineStr">
        <is>
          <t>월계장학관 건립·개관 및 프로그램 운영</t>
        </is>
      </c>
      <c r="H10" s="12" t="inlineStr">
        <is>
          <t>개관 여부 / 이용 학생 수</t>
        </is>
      </c>
      <c r="I10" s="9" t="inlineStr">
        <is>
          <t>2026~2030</t>
        </is>
      </c>
      <c r="J10" s="13" t="inlineStr">
        <is>
          <t>착수 전</t>
        </is>
      </c>
      <c r="K10" s="14" t="n">
        <v>0</v>
      </c>
      <c r="L10" s="12" t="inlineStr"/>
    </row>
    <row r="11" ht="60" customHeight="1">
      <c r="A11" s="9" t="n">
        <v>9</v>
      </c>
      <c r="B11" s="17" t="inlineStr">
        <is>
          <t>교육</t>
        </is>
      </c>
      <c r="C11" s="18" t="inlineStr">
        <is>
          <t>제2의 은행사거리! 명품 교육도시 월계</t>
        </is>
      </c>
      <c r="D11" s="12" t="inlineStr">
        <is>
          <t>아동·청소년 문화·예술·체육 복합시설 확대</t>
        </is>
      </c>
      <c r="E11" s="12" t="inlineStr">
        <is>
          <t>서울시 생활SOC 예산 편성 요구, 행정사무감사로 노후시설 점검, 부지 발굴</t>
        </is>
      </c>
      <c r="F11" s="9" t="inlineStr">
        <is>
          <t>예산·감시</t>
        </is>
      </c>
      <c r="G11" s="12" t="inlineStr">
        <is>
          <t>아동청소년 복합 문화·체육 인프라 신설·확충</t>
        </is>
      </c>
      <c r="H11" s="12" t="inlineStr">
        <is>
          <t>신설 시설 수 / 이용 아동·청소년 수</t>
        </is>
      </c>
      <c r="I11" s="9" t="inlineStr">
        <is>
          <t>2026~2030</t>
        </is>
      </c>
      <c r="J11" s="13" t="inlineStr">
        <is>
          <t>착수 전</t>
        </is>
      </c>
      <c r="K11" s="14" t="n">
        <v>0</v>
      </c>
      <c r="L11" s="12" t="inlineStr"/>
    </row>
    <row r="12" ht="60" customHeight="1">
      <c r="A12" s="9" t="n">
        <v>10</v>
      </c>
      <c r="B12" s="17" t="inlineStr">
        <is>
          <t>교육</t>
        </is>
      </c>
      <c r="C12" s="18" t="inlineStr">
        <is>
          <t>제2의 은행사거리! 명품 교육도시 월계</t>
        </is>
      </c>
      <c r="D12" s="12" t="inlineStr">
        <is>
          <t>월계동 맞춤형 공공 등교버스 추진</t>
        </is>
      </c>
      <c r="E12" s="12" t="inlineStr">
        <is>
          <t>서울시·교육청 통학 지원 예산 확보, 지원 조례 발의, 통학로 실태 현장조사</t>
        </is>
      </c>
      <c r="F12" s="9" t="inlineStr">
        <is>
          <t>예산·현장</t>
        </is>
      </c>
      <c r="G12" s="12" t="inlineStr">
        <is>
          <t>공공 등교버스 노선 운행 개시</t>
        </is>
      </c>
      <c r="H12" s="12" t="inlineStr">
        <is>
          <t>운행 노선 수 / 이용 학생 수</t>
        </is>
      </c>
      <c r="I12" s="9" t="inlineStr">
        <is>
          <t>2026~2028</t>
        </is>
      </c>
      <c r="J12" s="13" t="inlineStr">
        <is>
          <t>착수 전</t>
        </is>
      </c>
      <c r="K12" s="14" t="n">
        <v>0</v>
      </c>
      <c r="L12" s="12" t="inlineStr"/>
    </row>
    <row r="13" ht="60" customHeight="1">
      <c r="A13" s="9" t="n">
        <v>11</v>
      </c>
      <c r="B13" s="19" t="inlineStr">
        <is>
          <t>주거</t>
        </is>
      </c>
      <c r="C13" s="20" t="inlineStr">
        <is>
          <t>재건축·재개발은 신속하게, 세입자는 따뜻하게</t>
        </is>
      </c>
      <c r="D13" s="12" t="inlineStr">
        <is>
          <t>미미삼·삼호4차·동신·중흥·534번지 등 정비사업 신속 지원</t>
        </is>
      </c>
      <c r="E13" s="12" t="inlineStr">
        <is>
          <t>서울시 도시계획위·정비계획 심의 촉진, 시정질문으로 인허가 단축 요구, 조합-서울시 협의</t>
        </is>
      </c>
      <c r="F13" s="9" t="inlineStr">
        <is>
          <t>감시·협의</t>
        </is>
      </c>
      <c r="G13" s="12" t="inlineStr">
        <is>
          <t>주요 정비구역 심의 통과·사업시행인가 등 단계 진척</t>
        </is>
      </c>
      <c r="H13" s="12" t="inlineStr">
        <is>
          <t>단계 진척(정비계획→인가→착공) / 구역 수</t>
        </is>
      </c>
      <c r="I13" s="9" t="inlineStr">
        <is>
          <t>2026~2030</t>
        </is>
      </c>
      <c r="J13" s="13" t="inlineStr">
        <is>
          <t>착수 전</t>
        </is>
      </c>
      <c r="K13" s="14" t="n">
        <v>0</v>
      </c>
      <c r="L13" s="12" t="inlineStr"/>
    </row>
    <row r="14" ht="60" customHeight="1">
      <c r="A14" s="9" t="n">
        <v>12</v>
      </c>
      <c r="B14" s="19" t="inlineStr">
        <is>
          <t>주거</t>
        </is>
      </c>
      <c r="C14" s="20" t="inlineStr">
        <is>
          <t>재건축·재개발은 신속하게, 세입자는 따뜻하게</t>
        </is>
      </c>
      <c r="D14" s="12" t="inlineStr">
        <is>
          <t>정비사업 퇴거 세입자 전세자금 대출 지원 확대(소득기준 완화)</t>
        </is>
      </c>
      <c r="E14" s="12" t="inlineStr">
        <is>
          <t>서울시 주거복지 예산 확보, 세입자 지원 조례 개정 발의, 대상기준 완화 촉구</t>
        </is>
      </c>
      <c r="F14" s="9" t="inlineStr">
        <is>
          <t>예산·조례</t>
        </is>
      </c>
      <c r="G14" s="12" t="inlineStr">
        <is>
          <t>세입자 전세대출 지원 소득기준 완화·수혜 확대</t>
        </is>
      </c>
      <c r="H14" s="12" t="inlineStr">
        <is>
          <t>완화된 소득기준 / 수혜 세입자 수</t>
        </is>
      </c>
      <c r="I14" s="9" t="inlineStr">
        <is>
          <t>2026~2028</t>
        </is>
      </c>
      <c r="J14" s="13" t="inlineStr">
        <is>
          <t>착수 전</t>
        </is>
      </c>
      <c r="K14" s="14" t="n">
        <v>0</v>
      </c>
      <c r="L14" s="12" t="inlineStr"/>
    </row>
    <row r="15" ht="60" customHeight="1">
      <c r="A15" s="9" t="n">
        <v>13</v>
      </c>
      <c r="B15" s="19" t="inlineStr">
        <is>
          <t>주거</t>
        </is>
      </c>
      <c r="C15" s="20" t="inlineStr">
        <is>
          <t>재건축·재개발은 신속하게, 세입자는 따뜻하게</t>
        </is>
      </c>
      <c r="D15" s="12" t="inlineStr">
        <is>
          <t>노원구 관내 이전 유도 정책 도입</t>
        </is>
      </c>
      <c r="E15" s="12" t="inlineStr">
        <is>
          <t>이주민 정착 지원 예산 편성, 관련 조례 발의, 자치구-서울시 정책 협의</t>
        </is>
      </c>
      <c r="F15" s="9" t="inlineStr">
        <is>
          <t>예산·조례</t>
        </is>
      </c>
      <c r="G15" s="12" t="inlineStr">
        <is>
          <t>정비사업 이주민 관내 재정착 지원제도 도입</t>
        </is>
      </c>
      <c r="H15" s="12" t="inlineStr">
        <is>
          <t>제도 도입 여부 / 관내 재정착률(%)</t>
        </is>
      </c>
      <c r="I15" s="9" t="inlineStr">
        <is>
          <t>2026~2029</t>
        </is>
      </c>
      <c r="J15" s="13" t="inlineStr">
        <is>
          <t>착수 전</t>
        </is>
      </c>
      <c r="K15" s="14" t="n">
        <v>0</v>
      </c>
      <c r="L15" s="12" t="inlineStr"/>
    </row>
    <row r="16" ht="60" customHeight="1">
      <c r="A16" s="9" t="n">
        <v>14</v>
      </c>
      <c r="B16" s="21" t="inlineStr">
        <is>
          <t>청년·가족</t>
        </is>
      </c>
      <c r="C16" s="22" t="inlineStr">
        <is>
          <t>신혼부부 워너비 도시! 임신부터 출산까지 책임</t>
        </is>
      </c>
      <c r="D16" s="12" t="inlineStr">
        <is>
          <t>동북권 최초 국·공립 산후조리원 유치 + 출산 바우처 확대</t>
        </is>
      </c>
      <c r="E16" s="12" t="inlineStr">
        <is>
          <t>서울시 보건복지 예산 확보, 공공산후조리원 설치·바우처 조례 발의, 부지·운영 협의</t>
        </is>
      </c>
      <c r="F16" s="9" t="inlineStr">
        <is>
          <t>예산·조례</t>
        </is>
      </c>
      <c r="G16" s="12" t="inlineStr">
        <is>
          <t>공공 산후조리원 건립·개원, 출산 바우처 확대</t>
        </is>
      </c>
      <c r="H16" s="12" t="inlineStr">
        <is>
          <t>개원 여부 / 이용 산모 수·바우처 지원액</t>
        </is>
      </c>
      <c r="I16" s="9" t="inlineStr">
        <is>
          <t>2026~2030</t>
        </is>
      </c>
      <c r="J16" s="13" t="inlineStr">
        <is>
          <t>착수 전</t>
        </is>
      </c>
      <c r="K16" s="14" t="n">
        <v>0</v>
      </c>
      <c r="L16" s="12" t="inlineStr"/>
    </row>
    <row r="17" ht="60" customHeight="1">
      <c r="A17" s="9" t="n">
        <v>15</v>
      </c>
      <c r="B17" s="21" t="inlineStr">
        <is>
          <t>청년·가족</t>
        </is>
      </c>
      <c r="C17" s="22" t="inlineStr">
        <is>
          <t>신혼부부 워너비 도시! 임신부터 출산까지 책임</t>
        </is>
      </c>
      <c r="D17" s="12" t="inlineStr">
        <is>
          <t>서울형 '임산부 기본소득(지역화폐)' 추진</t>
        </is>
      </c>
      <c r="E17" s="12" t="inlineStr">
        <is>
          <t>서울시 예산 확보, 임산부 기본소득 지원 조례 발의, 시정질문으로 지급시점 앞당김 촉구</t>
        </is>
      </c>
      <c r="F17" s="9" t="inlineStr">
        <is>
          <t>조례·예산</t>
        </is>
      </c>
      <c r="G17" s="12" t="inlineStr">
        <is>
          <t>임신 인지시점부터 임산부 기본소득(지역화폐) 지급</t>
        </is>
      </c>
      <c r="H17" s="12" t="inlineStr">
        <is>
          <t>조례 시행 여부 / 지급 대상·금액</t>
        </is>
      </c>
      <c r="I17" s="9" t="inlineStr">
        <is>
          <t>2026~2028</t>
        </is>
      </c>
      <c r="J17" s="13" t="inlineStr">
        <is>
          <t>착수 전</t>
        </is>
      </c>
      <c r="K17" s="14" t="n">
        <v>0</v>
      </c>
      <c r="L17" s="12" t="inlineStr"/>
    </row>
    <row r="18" ht="60" customHeight="1">
      <c r="A18" s="9" t="n">
        <v>16</v>
      </c>
      <c r="B18" s="23" t="inlineStr">
        <is>
          <t>복지</t>
        </is>
      </c>
      <c r="C18" s="24" t="inlineStr">
        <is>
          <t>일자리가 최고의 복지! 전 세대 일자리 복지</t>
        </is>
      </c>
      <c r="D18" s="12" t="inlineStr">
        <is>
          <t>전 세대 맞춤형 공공 일자리 대폭 확대</t>
        </is>
      </c>
      <c r="E18" s="12" t="inlineStr">
        <is>
          <t>서울시 일자리 예산 증액 요구, 공공일자리 조례 개정, 행정사무감사로 집행 점검</t>
        </is>
      </c>
      <c r="F18" s="9" t="inlineStr">
        <is>
          <t>예산·감시</t>
        </is>
      </c>
      <c r="G18" s="12" t="inlineStr">
        <is>
          <t>어르신·중장년·청년 공공일자리 확대 제공</t>
        </is>
      </c>
      <c r="H18" s="12" t="inlineStr">
        <is>
          <t>신규 공공일자리 수 / 참여 인원</t>
        </is>
      </c>
      <c r="I18" s="9" t="inlineStr">
        <is>
          <t>2026~2029</t>
        </is>
      </c>
      <c r="J18" s="13" t="inlineStr">
        <is>
          <t>착수 전</t>
        </is>
      </c>
      <c r="K18" s="14" t="n">
        <v>0</v>
      </c>
      <c r="L18" s="12" t="inlineStr"/>
    </row>
    <row r="19" ht="60" customHeight="1">
      <c r="A19" s="9" t="n">
        <v>17</v>
      </c>
      <c r="B19" s="23" t="inlineStr">
        <is>
          <t>복지</t>
        </is>
      </c>
      <c r="C19" s="24" t="inlineStr">
        <is>
          <t>일자리가 최고의 복지! 전 세대 일자리 복지</t>
        </is>
      </c>
      <c r="D19" s="12" t="inlineStr">
        <is>
          <t>SH·LH 공공아파트 주거·생활 민원 신속 처리</t>
        </is>
      </c>
      <c r="E19" s="12" t="inlineStr">
        <is>
          <t>국회·서울시·SH 협의 중개, 시정질문으로 처리 촉구, 현장민원실 접수·이관</t>
        </is>
      </c>
      <c r="F19" s="9" t="inlineStr">
        <is>
          <t>협의·현장</t>
        </is>
      </c>
      <c r="G19" s="12" t="inlineStr">
        <is>
          <t>공공아파트 주거·생활 민원 처리기간 단축</t>
        </is>
      </c>
      <c r="H19" s="12" t="inlineStr">
        <is>
          <t>민원 처리 건수 / 평균 처리기간</t>
        </is>
      </c>
      <c r="I19" s="9" t="inlineStr">
        <is>
          <t>상시</t>
        </is>
      </c>
      <c r="J19" s="13" t="inlineStr">
        <is>
          <t>착수 전</t>
        </is>
      </c>
      <c r="K19" s="14" t="n">
        <v>0</v>
      </c>
      <c r="L19" s="12" t="inlineStr"/>
    </row>
    <row r="20" ht="60" customHeight="1">
      <c r="A20" s="9" t="n">
        <v>18</v>
      </c>
      <c r="B20" s="23" t="inlineStr">
        <is>
          <t>복지</t>
        </is>
      </c>
      <c r="C20" s="24" t="inlineStr">
        <is>
          <t>일자리가 최고의 복지! 전 세대 일자리 복지</t>
        </is>
      </c>
      <c r="D20" s="12" t="inlineStr">
        <is>
          <t>대중교통 무장애 환경 조성(석계역 1번출구 엘리베이터 등)</t>
        </is>
      </c>
      <c r="E20" s="12" t="inlineStr">
        <is>
          <t>서울시 교통약자 이동편의 예산 확보, 시정질문, 서울교통공사 시설 협의</t>
        </is>
      </c>
      <c r="F20" s="9" t="inlineStr">
        <is>
          <t>예산·협의</t>
        </is>
      </c>
      <c r="G20" s="12" t="inlineStr">
        <is>
          <t>석계역 승강기·전동휠체어 진입로 등 무장애 시설 설치</t>
        </is>
      </c>
      <c r="H20" s="12" t="inlineStr">
        <is>
          <t>무장애 시설 설치 수 / 대상 역사</t>
        </is>
      </c>
      <c r="I20" s="9" t="inlineStr">
        <is>
          <t>2026~2029</t>
        </is>
      </c>
      <c r="J20" s="13" t="inlineStr">
        <is>
          <t>착수 전</t>
        </is>
      </c>
      <c r="K20" s="14" t="n">
        <v>0</v>
      </c>
      <c r="L20" s="12" t="inlineStr"/>
    </row>
    <row r="21" ht="60" customHeight="1">
      <c r="A21" s="9" t="n">
        <v>19</v>
      </c>
      <c r="B21" s="25" t="inlineStr">
        <is>
          <t>민생</t>
        </is>
      </c>
      <c r="C21" s="26" t="inlineStr">
        <is>
          <t>상권에 활력을! 소상공인이 웃는 지역경제 1번지</t>
        </is>
      </c>
      <c r="D21" s="12" t="inlineStr">
        <is>
          <t>노원형 지역화폐 환급제도 도입(여가·문화시설 사용료 일부 환급)</t>
        </is>
      </c>
      <c r="E21" s="12" t="inlineStr">
        <is>
          <t>서울시·자치구 지역화폐 예산 확보, 환급제도 근거 조례 발의, 자치구 협의</t>
        </is>
      </c>
      <c r="F21" s="9" t="inlineStr">
        <is>
          <t>조례·예산</t>
        </is>
      </c>
      <c r="G21" s="12" t="inlineStr">
        <is>
          <t>여가·문화시설 사용료 지역화폐 환급 선순환 구축</t>
        </is>
      </c>
      <c r="H21" s="12" t="inlineStr">
        <is>
          <t>환급 이용 건수 / 골목상권 소비 증가</t>
        </is>
      </c>
      <c r="I21" s="9" t="inlineStr">
        <is>
          <t>2026~2028</t>
        </is>
      </c>
      <c r="J21" s="13" t="inlineStr">
        <is>
          <t>착수 전</t>
        </is>
      </c>
      <c r="K21" s="14" t="n">
        <v>0</v>
      </c>
      <c r="L21" s="12" t="inlineStr"/>
    </row>
    <row r="22" ht="60" customHeight="1">
      <c r="A22" s="9" t="n">
        <v>20</v>
      </c>
      <c r="B22" s="25" t="inlineStr">
        <is>
          <t>민생</t>
        </is>
      </c>
      <c r="C22" s="26" t="inlineStr">
        <is>
          <t>상권에 활력을! 소상공인이 웃는 지역경제 1번지</t>
        </is>
      </c>
      <c r="D22" s="12" t="inlineStr">
        <is>
          <t>월계동 골목형 상점가 확대(온누리상품권 사용처·특화축제)</t>
        </is>
      </c>
      <c r="E22" s="12" t="inlineStr">
        <is>
          <t>상권 활성화 예산 편성 요구, 골목상권 지원 조례 발의, 상인회 간담회</t>
        </is>
      </c>
      <c r="F22" s="9" t="inlineStr">
        <is>
          <t>예산·현장</t>
        </is>
      </c>
      <c r="G22" s="12" t="inlineStr">
        <is>
          <t>골목형 상점가 지정 확대, 특화축제 개최</t>
        </is>
      </c>
      <c r="H22" s="12" t="inlineStr">
        <is>
          <t>지정 상점가 수 / 상품권 사용액·축제 수</t>
        </is>
      </c>
      <c r="I22" s="9" t="inlineStr">
        <is>
          <t>2026~2029</t>
        </is>
      </c>
      <c r="J22" s="13" t="inlineStr">
        <is>
          <t>착수 전</t>
        </is>
      </c>
      <c r="K22" s="14" t="n">
        <v>0</v>
      </c>
      <c r="L22" s="12" t="inlineStr"/>
    </row>
    <row r="23" ht="60" customHeight="1">
      <c r="A23" s="9" t="n">
        <v>21</v>
      </c>
      <c r="B23" s="27" t="inlineStr">
        <is>
          <t>일상</t>
        </is>
      </c>
      <c r="C23" s="28" t="inlineStr">
        <is>
          <t>구석구석 안전하게! 생활 속 불편 해결</t>
        </is>
      </c>
      <c r="D23" s="12" t="inlineStr">
        <is>
          <t>겨울철 낙상 제로! 언덕길 열선 확대(영축산 등)</t>
        </is>
      </c>
      <c r="E23" s="12" t="inlineStr">
        <is>
          <t>서울시 도로안전 예산 확보, 시정질문으로 열선구역 확대 요구, 현장 위험구간 조사</t>
        </is>
      </c>
      <c r="F23" s="9" t="inlineStr">
        <is>
          <t>예산·현장</t>
        </is>
      </c>
      <c r="G23" s="12" t="inlineStr">
        <is>
          <t>비탈길 열선 설치구간 확대</t>
        </is>
      </c>
      <c r="H23" s="12" t="inlineStr">
        <is>
          <t>신규 열선 설치 구간 수(개소)</t>
        </is>
      </c>
      <c r="I23" s="9" t="inlineStr">
        <is>
          <t>2026~2028</t>
        </is>
      </c>
      <c r="J23" s="13" t="inlineStr">
        <is>
          <t>착수 전</t>
        </is>
      </c>
      <c r="K23" s="14" t="n">
        <v>0</v>
      </c>
      <c r="L23" s="12" t="inlineStr"/>
    </row>
    <row r="24" ht="60" customHeight="1">
      <c r="A24" s="9" t="n">
        <v>22</v>
      </c>
      <c r="B24" s="27" t="inlineStr">
        <is>
          <t>일상</t>
        </is>
      </c>
      <c r="C24" s="28" t="inlineStr">
        <is>
          <t>구석구석 안전하게! 생활 속 불편 해결</t>
        </is>
      </c>
      <c r="D24" s="12" t="inlineStr">
        <is>
          <t>안심하고 걷는 거리, 싱크홀 예방(도로·보행 안전 예산 확대)</t>
        </is>
      </c>
      <c r="E24" s="12" t="inlineStr">
        <is>
          <t>서울시 도로·지반안전 예산 증액 요구, 행정사무감사로 노후관로 점검 촉구</t>
        </is>
      </c>
      <c r="F24" s="9" t="inlineStr">
        <is>
          <t>예산·감시</t>
        </is>
      </c>
      <c r="G24" s="12" t="inlineStr">
        <is>
          <t>싱크홀 예방 점검·보수 및 보행안전 시설 확충</t>
        </is>
      </c>
      <c r="H24" s="12" t="inlineStr">
        <is>
          <t>점검·보수 구간 수 / 사고 발생 건수</t>
        </is>
      </c>
      <c r="I24" s="9" t="inlineStr">
        <is>
          <t>상시</t>
        </is>
      </c>
      <c r="J24" s="13" t="inlineStr">
        <is>
          <t>착수 전</t>
        </is>
      </c>
      <c r="K24" s="14" t="n">
        <v>0</v>
      </c>
      <c r="L24" s="12" t="inlineStr"/>
    </row>
    <row r="25" ht="60" customHeight="1">
      <c r="A25" s="9" t="n">
        <v>23</v>
      </c>
      <c r="B25" s="27" t="inlineStr">
        <is>
          <t>일상</t>
        </is>
      </c>
      <c r="C25" s="28" t="inlineStr">
        <is>
          <t>구석구석 안전하게! 생활 속 불편 해결</t>
        </is>
      </c>
      <c r="D25" s="12" t="inlineStr">
        <is>
          <t>대중교통 대기 쾌적화(석계역 1호선 냉난방 쉼터·버스정류장 따숨쉼터)</t>
        </is>
      </c>
      <c r="E25" s="12" t="inlineStr">
        <is>
          <t>서울시 교통편의 예산 확보, 시정질문, 서울교통공사·버스업체 협의</t>
        </is>
      </c>
      <c r="F25" s="9" t="inlineStr">
        <is>
          <t>예산·협의</t>
        </is>
      </c>
      <c r="G25" s="12" t="inlineStr">
        <is>
          <t>석계역 냉난방쉼터·버스정류장 쉼터 신설·확대</t>
        </is>
      </c>
      <c r="H25" s="12" t="inlineStr">
        <is>
          <t>설치 쉼터 수 / 이용 승객 만족도</t>
        </is>
      </c>
      <c r="I25" s="9" t="inlineStr">
        <is>
          <t>2026~2028</t>
        </is>
      </c>
      <c r="J25" s="13" t="inlineStr">
        <is>
          <t>착수 전</t>
        </is>
      </c>
      <c r="K25" s="14" t="n">
        <v>0</v>
      </c>
      <c r="L25" s="12" t="inlineStr"/>
    </row>
    <row r="26" ht="60" customHeight="1">
      <c r="A26" s="9" t="n">
        <v>24</v>
      </c>
      <c r="B26" s="27" t="inlineStr">
        <is>
          <t>일상</t>
        </is>
      </c>
      <c r="C26" s="28" t="inlineStr">
        <is>
          <t>구석구석 안전하게! 생활 속 불편 해결</t>
        </is>
      </c>
      <c r="D26" s="12" t="inlineStr">
        <is>
          <t>주민 배려형 디테일 행정(이마트 진입로 교통체증 해소 연구용역)</t>
        </is>
      </c>
      <c r="E26" s="12" t="inlineStr">
        <is>
          <t>서울시 교통개선 연구용역 예산 확보, 시정질문으로 즉각 추진 요구, 주민 수요 조사</t>
        </is>
      </c>
      <c r="F26" s="9" t="inlineStr">
        <is>
          <t>예산·현장</t>
        </is>
      </c>
      <c r="G26" s="12" t="inlineStr">
        <is>
          <t>이마트 진입로 교통체증 해소 연구용역 착수·이행</t>
        </is>
      </c>
      <c r="H26" s="12" t="inlineStr">
        <is>
          <t>용역 착수 여부 / 정체 개선 효과</t>
        </is>
      </c>
      <c r="I26" s="9" t="inlineStr">
        <is>
          <t>2026~2027</t>
        </is>
      </c>
      <c r="J26" s="13" t="inlineStr">
        <is>
          <t>착수 전</t>
        </is>
      </c>
      <c r="K26" s="14" t="n">
        <v>0</v>
      </c>
      <c r="L26" s="12" t="inlineStr"/>
    </row>
  </sheetData>
  <mergeCells count="1">
    <mergeCell ref="A1:L1"/>
  </mergeCells>
  <dataValidations count="2">
    <dataValidation sqref="J3:J26" showDropDown="0" showInputMessage="0" showErrorMessage="0" allowBlank="1" type="list">
      <formula1>"착수 전,추진 중,일부 달성,목표 달성,보류·무산"</formula1>
    </dataValidation>
    <dataValidation sqref="K3:K26" showDropDown="0" showInputMessage="0" showErrorMessage="0" allowBlank="1" errorTitle="달성률 범위" error="0에서 100 사이 숫자를 입력하세요." type="whole" operator="between">
      <formula1>0</formula1>
      <formula2>100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2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2" customWidth="1" min="3" max="3"/>
    <col width="14" customWidth="1" min="4" max="4"/>
    <col width="14" customWidth="1" min="5" max="5"/>
    <col width="40" customWidth="1" min="6" max="6"/>
  </cols>
  <sheetData>
    <row r="2">
      <c r="B2" s="29" t="inlineStr">
        <is>
          <t>분야별 공약 달성도 요약 대시보드</t>
        </is>
      </c>
    </row>
    <row r="3">
      <c r="B3" s="30" t="inlineStr">
        <is>
          <t>'공약 달성도 트래커' 탭의 달성률·진행단계를 자동 집계합니다.</t>
        </is>
      </c>
    </row>
    <row r="5" ht="22" customHeight="1">
      <c r="B5" s="8" t="inlineStr">
        <is>
          <t>분야</t>
        </is>
      </c>
      <c r="C5" s="8" t="inlineStr">
        <is>
          <t>공약 건수</t>
        </is>
      </c>
      <c r="D5" s="8" t="inlineStr">
        <is>
          <t>평균 달성률</t>
        </is>
      </c>
      <c r="E5" s="8" t="inlineStr">
        <is>
          <t>목표 달성</t>
        </is>
      </c>
      <c r="F5" s="8" t="inlineStr">
        <is>
          <t>추진 중</t>
        </is>
      </c>
      <c r="G5" s="8" t="inlineStr">
        <is>
          <t>슬로건</t>
        </is>
      </c>
    </row>
    <row r="6">
      <c r="B6" s="31" t="inlineStr">
        <is>
          <t>경제</t>
        </is>
      </c>
      <c r="C6" s="32">
        <f>COUNTIF('공약 달성도 트래커'!$B$3:$B$26,$B6)</f>
        <v>4</v>
      </c>
      <c r="D6" s="33">
        <f>IFERROR(AVERAGEIF('공약 달성도 트래커'!$B$3:$B$26,$B6,'공약 달성도 트래커'!$K$3:$K$26),0)</f>
        <v>0</v>
      </c>
      <c r="E6" s="32">
        <f>COUNTIFS('공약 달성도 트래커'!$B$3:$B$26,$B6,'공약 달성도 트래커'!$J$3:$J$26,"목표 달성")</f>
        <v>0</v>
      </c>
      <c r="F6" s="32">
        <f>COUNTIFS('공약 달성도 트래커'!$B$3:$B$26,$B6,'공약 달성도 트래커'!$J$3:$J$26,"추진 중")</f>
        <v>0</v>
      </c>
      <c r="G6" s="12" t="inlineStr">
        <is>
          <t>월계동을 '강북의 판교'·'서울의 실리콘밸리'로</t>
        </is>
      </c>
    </row>
    <row r="7">
      <c r="B7" s="34" t="inlineStr">
        <is>
          <t>교통</t>
        </is>
      </c>
      <c r="C7" s="32">
        <f>COUNTIF('공약 달성도 트래커'!$B$3:$B$26,$B7)</f>
        <v>3</v>
      </c>
      <c r="D7" s="33">
        <f>IFERROR(AVERAGEIF('공약 달성도 트래커'!$B$3:$B$26,$B7,'공약 달성도 트래커'!$K$3:$K$26),0)</f>
        <v>0</v>
      </c>
      <c r="E7" s="32">
        <f>COUNTIFS('공약 달성도 트래커'!$B$3:$B$26,$B7,'공약 달성도 트래커'!$J$3:$J$26,"목표 달성")</f>
        <v>0</v>
      </c>
      <c r="F7" s="32">
        <f>COUNTIFS('공약 달성도 트래커'!$B$3:$B$26,$B7,'공약 달성도 트래커'!$J$3:$J$26,"추진 중")</f>
        <v>0</v>
      </c>
      <c r="G7" s="12" t="inlineStr">
        <is>
          <t>사통팔달 교통혁신으로 더 살기 좋은 월계</t>
        </is>
      </c>
    </row>
    <row r="8">
      <c r="B8" s="35" t="inlineStr">
        <is>
          <t>교육</t>
        </is>
      </c>
      <c r="C8" s="32">
        <f>COUNTIF('공약 달성도 트래커'!$B$3:$B$26,$B8)</f>
        <v>3</v>
      </c>
      <c r="D8" s="33">
        <f>IFERROR(AVERAGEIF('공약 달성도 트래커'!$B$3:$B$26,$B8,'공약 달성도 트래커'!$K$3:$K$26),0)</f>
        <v>0</v>
      </c>
      <c r="E8" s="32">
        <f>COUNTIFS('공약 달성도 트래커'!$B$3:$B$26,$B8,'공약 달성도 트래커'!$J$3:$J$26,"목표 달성")</f>
        <v>0</v>
      </c>
      <c r="F8" s="32">
        <f>COUNTIFS('공약 달성도 트래커'!$B$3:$B$26,$B8,'공약 달성도 트래커'!$J$3:$J$26,"추진 중")</f>
        <v>0</v>
      </c>
      <c r="G8" s="12" t="inlineStr">
        <is>
          <t>제2의 은행사거리! 명품 교육도시 월계</t>
        </is>
      </c>
    </row>
    <row r="9">
      <c r="B9" s="36" t="inlineStr">
        <is>
          <t>주거</t>
        </is>
      </c>
      <c r="C9" s="32">
        <f>COUNTIF('공약 달성도 트래커'!$B$3:$B$26,$B9)</f>
        <v>3</v>
      </c>
      <c r="D9" s="33">
        <f>IFERROR(AVERAGEIF('공약 달성도 트래커'!$B$3:$B$26,$B9,'공약 달성도 트래커'!$K$3:$K$26),0)</f>
        <v>0</v>
      </c>
      <c r="E9" s="32">
        <f>COUNTIFS('공약 달성도 트래커'!$B$3:$B$26,$B9,'공약 달성도 트래커'!$J$3:$J$26,"목표 달성")</f>
        <v>0</v>
      </c>
      <c r="F9" s="32">
        <f>COUNTIFS('공약 달성도 트래커'!$B$3:$B$26,$B9,'공약 달성도 트래커'!$J$3:$J$26,"추진 중")</f>
        <v>0</v>
      </c>
      <c r="G9" s="12" t="inlineStr">
        <is>
          <t>재건축·재개발은 신속하게, 세입자는 따뜻하게</t>
        </is>
      </c>
    </row>
    <row r="10">
      <c r="B10" s="37" t="inlineStr">
        <is>
          <t>청년·가족</t>
        </is>
      </c>
      <c r="C10" s="32">
        <f>COUNTIF('공약 달성도 트래커'!$B$3:$B$26,$B10)</f>
        <v>2</v>
      </c>
      <c r="D10" s="33">
        <f>IFERROR(AVERAGEIF('공약 달성도 트래커'!$B$3:$B$26,$B10,'공약 달성도 트래커'!$K$3:$K$26),0)</f>
        <v>0</v>
      </c>
      <c r="E10" s="32">
        <f>COUNTIFS('공약 달성도 트래커'!$B$3:$B$26,$B10,'공약 달성도 트래커'!$J$3:$J$26,"목표 달성")</f>
        <v>0</v>
      </c>
      <c r="F10" s="32">
        <f>COUNTIFS('공약 달성도 트래커'!$B$3:$B$26,$B10,'공약 달성도 트래커'!$J$3:$J$26,"추진 중")</f>
        <v>0</v>
      </c>
      <c r="G10" s="12" t="inlineStr">
        <is>
          <t>신혼부부 워너비 도시! 임신부터 출산까지 책임</t>
        </is>
      </c>
    </row>
    <row r="11">
      <c r="B11" s="38" t="inlineStr">
        <is>
          <t>복지</t>
        </is>
      </c>
      <c r="C11" s="32">
        <f>COUNTIF('공약 달성도 트래커'!$B$3:$B$26,$B11)</f>
        <v>3</v>
      </c>
      <c r="D11" s="33">
        <f>IFERROR(AVERAGEIF('공약 달성도 트래커'!$B$3:$B$26,$B11,'공약 달성도 트래커'!$K$3:$K$26),0)</f>
        <v>0</v>
      </c>
      <c r="E11" s="32">
        <f>COUNTIFS('공약 달성도 트래커'!$B$3:$B$26,$B11,'공약 달성도 트래커'!$J$3:$J$26,"목표 달성")</f>
        <v>0</v>
      </c>
      <c r="F11" s="32">
        <f>COUNTIFS('공약 달성도 트래커'!$B$3:$B$26,$B11,'공약 달성도 트래커'!$J$3:$J$26,"추진 중")</f>
        <v>0</v>
      </c>
      <c r="G11" s="12" t="inlineStr">
        <is>
          <t>일자리가 최고의 복지! 전 세대 일자리 복지</t>
        </is>
      </c>
    </row>
    <row r="12">
      <c r="B12" s="39" t="inlineStr">
        <is>
          <t>민생</t>
        </is>
      </c>
      <c r="C12" s="32">
        <f>COUNTIF('공약 달성도 트래커'!$B$3:$B$26,$B12)</f>
        <v>2</v>
      </c>
      <c r="D12" s="33">
        <f>IFERROR(AVERAGEIF('공약 달성도 트래커'!$B$3:$B$26,$B12,'공약 달성도 트래커'!$K$3:$K$26),0)</f>
        <v>0</v>
      </c>
      <c r="E12" s="32">
        <f>COUNTIFS('공약 달성도 트래커'!$B$3:$B$26,$B12,'공약 달성도 트래커'!$J$3:$J$26,"목표 달성")</f>
        <v>0</v>
      </c>
      <c r="F12" s="32">
        <f>COUNTIFS('공약 달성도 트래커'!$B$3:$B$26,$B12,'공약 달성도 트래커'!$J$3:$J$26,"추진 중")</f>
        <v>0</v>
      </c>
      <c r="G12" s="12" t="inlineStr">
        <is>
          <t>상권에 활력을! 소상공인이 웃는 지역경제 1번지</t>
        </is>
      </c>
    </row>
    <row r="13">
      <c r="B13" s="40" t="inlineStr">
        <is>
          <t>일상</t>
        </is>
      </c>
      <c r="C13" s="32">
        <f>COUNTIF('공약 달성도 트래커'!$B$3:$B$26,$B13)</f>
        <v>4</v>
      </c>
      <c r="D13" s="33">
        <f>IFERROR(AVERAGEIF('공약 달성도 트래커'!$B$3:$B$26,$B13,'공약 달성도 트래커'!$K$3:$K$26),0)</f>
        <v>0</v>
      </c>
      <c r="E13" s="32">
        <f>COUNTIFS('공약 달성도 트래커'!$B$3:$B$26,$B13,'공약 달성도 트래커'!$J$3:$J$26,"목표 달성")</f>
        <v>0</v>
      </c>
      <c r="F13" s="32">
        <f>COUNTIFS('공약 달성도 트래커'!$B$3:$B$26,$B13,'공약 달성도 트래커'!$J$3:$J$26,"추진 중")</f>
        <v>0</v>
      </c>
      <c r="G13" s="12" t="inlineStr">
        <is>
          <t>구석구석 안전하게! 생활 속 불편 해결</t>
        </is>
      </c>
    </row>
    <row r="14">
      <c r="B14" s="41" t="inlineStr">
        <is>
          <t>전체 합계·평균</t>
        </is>
      </c>
      <c r="C14" s="42">
        <f>COUNTA('공약 달성도 트래커'!$B$3:$B$26)</f>
        <v>24</v>
      </c>
      <c r="D14" s="43">
        <f>IFERROR(AVERAGE('공약 달성도 트래커'!$K$3:$K$26),0)</f>
        <v>0</v>
      </c>
      <c r="E14" s="44">
        <f>COUNTIF('공약 달성도 트래커'!$J$3:$J$26,"목표 달성")</f>
        <v>0</v>
      </c>
      <c r="F14" s="44">
        <f>COUNTIF('공약 달성도 트래커'!$J$3:$J$26,"추진 중")</f>
        <v>0</v>
      </c>
      <c r="G14" s="45" t="inlineStr">
        <is>
          <t>8대 분야 종합</t>
        </is>
      </c>
    </row>
    <row r="17">
      <c r="B17" s="46" t="inlineStr">
        <is>
          <t>■ 진행단계 현황 (전체)</t>
        </is>
      </c>
    </row>
    <row r="18">
      <c r="B18" s="47" t="inlineStr">
        <is>
          <t>착수 전</t>
        </is>
      </c>
      <c r="C18" s="32">
        <f>COUNTIF('공약 달성도 트래커'!$J$3:$J$26,"착수 전")</f>
        <v>24</v>
      </c>
    </row>
    <row r="19">
      <c r="B19" s="47" t="inlineStr">
        <is>
          <t>추진 중</t>
        </is>
      </c>
      <c r="C19" s="32">
        <f>COUNTIF('공약 달성도 트래커'!$J$3:$J$26,"추진 중")</f>
        <v>0</v>
      </c>
    </row>
    <row r="20">
      <c r="B20" s="47" t="inlineStr">
        <is>
          <t>일부 달성</t>
        </is>
      </c>
      <c r="C20" s="32">
        <f>COUNTIF('공약 달성도 트래커'!$J$3:$J$26,"일부 달성")</f>
        <v>0</v>
      </c>
    </row>
    <row r="21">
      <c r="B21" s="47" t="inlineStr">
        <is>
          <t>목표 달성</t>
        </is>
      </c>
      <c r="C21" s="32">
        <f>COUNTIF('공약 달성도 트래커'!$J$3:$J$26,"목표 달성")</f>
        <v>0</v>
      </c>
    </row>
    <row r="22">
      <c r="B22" s="47" t="inlineStr">
        <is>
          <t>보류·무산</t>
        </is>
      </c>
      <c r="C22" s="32">
        <f>COUNTIF('공약 달성도 트래커'!$J$3:$J$26,"보류·무산")</f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2026-09-22T05:14:00Z</dcterms:created>
  <dcterms:modified xsi:type="dcterms:W3CDTF">2026-09-22T05:14:00Z</dcterms:modified>
</cp:coreProperties>
</file>